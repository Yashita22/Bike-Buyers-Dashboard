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166925"/>
  <mc:AlternateContent xmlns:mc="http://schemas.openxmlformats.org/markup-compatibility/2006">
    <mc:Choice Requires="x15">
      <x15ac:absPath xmlns:x15ac="http://schemas.microsoft.com/office/spreadsheetml/2010/11/ac" url="/Users/yashita/Downloads/"/>
    </mc:Choice>
  </mc:AlternateContent>
  <xr:revisionPtr revIDLastSave="0" documentId="13_ncr:1_{E486789D-601A-9D47-B362-3A4557C0A4C4}" xr6:coauthVersionLast="47" xr6:coauthVersionMax="47" xr10:uidLastSave="{00000000-0000-0000-0000-000000000000}"/>
  <bookViews>
    <workbookView xWindow="0" yWindow="500" windowWidth="28800" windowHeight="15820" firstSheet="2" activeTab="6" xr2:uid="{00000000-000D-0000-FFFF-FFFF00000000}"/>
  </bookViews>
  <sheets>
    <sheet name="region_wise_avg_income_by_gen" sheetId="3" r:id="rId1"/>
    <sheet name="age_group_wise_bike_Pur" sheetId="4" r:id="rId2"/>
    <sheet name="rgn_wise_avg_age_of_marital_sts" sheetId="5" r:id="rId3"/>
    <sheet name="occ_wise_total_income" sheetId="6" r:id="rId4"/>
    <sheet name="bike_pur_by_edu" sheetId="7" r:id="rId5"/>
    <sheet name="Age_grp_Wise_total_income" sheetId="8" r:id="rId6"/>
    <sheet name="Dashboard" sheetId="2" r:id="rId7"/>
    <sheet name="bike_buyers" sheetId="1" r:id="rId8"/>
    <sheet name="Sheet1" sheetId="9" r:id="rId9"/>
  </sheets>
  <definedNames>
    <definedName name="_xlnm._FilterDatabase" localSheetId="7" hidden="1">bike_buyers!$A$1:$M$1001</definedName>
    <definedName name="Slicer_Age">#N/A</definedName>
    <definedName name="Slicer_Region">#N/A</definedName>
  </definedNames>
  <calcPr calcId="191029"/>
  <pivotCaches>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13" i="9" l="1"/>
  <c r="C13" i="9"/>
  <c r="D13" i="9"/>
  <c r="E13" i="9"/>
  <c r="E10" i="9"/>
  <c r="E8" i="9"/>
</calcChain>
</file>

<file path=xl/sharedStrings.xml><?xml version="1.0" encoding="utf-8"?>
<sst xmlns="http://schemas.openxmlformats.org/spreadsheetml/2006/main" count="8310" uniqueCount="59">
  <si>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</si>
  <si>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</si>
  <si>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</si>
  <si>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</si>
  <si>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</si>
  <si>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</si>
  <si>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</si>
  <si>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</si>
  <si>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</si>
  <si>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</si>
  <si>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</si>
  <si>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</si>
  <si>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</si>
  <si>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</si>
  <si>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</si>
  <si>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</si>
  <si>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</si>
  <si>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</si>
  <si>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</si>
  <si>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</si>
  <si>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</si>
  <si>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</si>
  <si>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</si>
  <si>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</si>
  <si>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</si>
  <si>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</si>
  <si>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</si>
  <si>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</si>
  <si>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</si>
  <si>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</si>
  <si>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</si>
  <si>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</si>
  <si>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</si>
  <si>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</si>
  <si>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</si>
  <si>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</si>
  <si>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Grand Total</t>
  </si>
  <si>
    <t>Sum of Income</t>
  </si>
  <si>
    <t>Total</t>
  </si>
  <si>
    <t>Count of Purchased Bike</t>
  </si>
  <si>
    <t>25-34</t>
  </si>
  <si>
    <t>35-44</t>
  </si>
  <si>
    <t>45-54</t>
  </si>
  <si>
    <t>55-64</t>
  </si>
  <si>
    <t>65-74</t>
  </si>
  <si>
    <t>75-84</t>
  </si>
  <si>
    <t>85-94</t>
  </si>
  <si>
    <t>E001</t>
  </si>
  <si>
    <t>E002</t>
  </si>
  <si>
    <t>E003</t>
  </si>
  <si>
    <t>E004</t>
  </si>
  <si>
    <t>Name</t>
  </si>
  <si>
    <t>Yash</t>
  </si>
  <si>
    <t>Sita</t>
  </si>
  <si>
    <t>Riya</t>
  </si>
  <si>
    <t>Priya</t>
  </si>
  <si>
    <t>Salary</t>
  </si>
  <si>
    <t>E005</t>
  </si>
  <si>
    <t>Sham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</si>
</sst>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0" fontId="0" fillId="0" borderId="0" xfId="0" pivotButton="1"/>
    <xf numFmtId="1" fontId="0" fillId="0" borderId="0" xfId="0" applyNumberFormat="1"/>
    <xf numFmtId="10" fontId="0" fillId="0" borderId="0" xfId="0" applyNumberFormat="1"/>
    <xf numFmtId="9" fontId="0" fillId="0" borderId="0" xfId="0" applyNumberFormat="1"/>
    <xf numFmtId="0" fontId="0" fillId="33" borderId="0" xfId="0" applyFill="1"/>
    <xf numFmtId="0" fontId="0" fillId="33"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1" formatCode="0"/>
    </dxf>
    <dxf>
      <numFmt numFmtId="1" formatCode="0"/>
    </dxf>
    <dxf>
      <numFmt numFmtId="13" formatCode="0%"/>
    </dxf>
    <dxf>
      <numFmt numFmtId="1" formatCode="0"/>
    </dxf>
    <dxf>
      <numFmt numFmtId="13" formatCode="0%"/>
    </dxf>
    <dxf>
      <numFmt numFmtId="1" formatCode="0"/>
    </dxf>
    <dxf>
      <numFmt numFmtId="1" formatCode="0"/>
    </dxf>
    <dxf>
      <numFmt numFmtId="1" formatCode="0"/>
    </dxf>
    <dxf>
      <numFmt numFmtId="1" formatCode="0"/>
    </dxf>
    <dxf>
      <numFmt numFmtId="1" formatCode="0"/>
    </dxf>
    <dxf>
      <numFmt numFmtId="164" formatCode="&quot;$&quot;#,##0.00"/>
    </dxf>
    <dxf>
      <numFmt numFmtId="13" formatCode="0%"/>
    </dxf>
  </dxfs>
  <tableStyles count="0" defaultTableStyle="TableStyleMedium2" defaultPivotStyle="PivotStyleLight16"/>
  <colors>
    <mruColors>
      <color rgb="FFFF2FD5"/>
      <color rgb="FFF308D7"/>
      <color rgb="FFFF2E68"/>
      <color rgb="FF4472C4"/>
      <color rgb="FFB7B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solved.xlsx]region_wise_avg_income_by_gen!regionwiseavgincomeofm_f</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Region wise Average Income by Gender</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region_wise_avg_income_by_gen!$B$3:$B$4</c:f>
              <c:strCache>
                <c:ptCount val="1"/>
                <c:pt idx="0">
                  <c:v>No</c:v>
                </c:pt>
              </c:strCache>
            </c:strRef>
          </c:tx>
          <c:spPr>
            <a:solidFill>
              <a:schemeClr val="accent2"/>
            </a:solidFill>
            <a:ln>
              <a:noFill/>
            </a:ln>
            <a:effectLst/>
          </c:spPr>
          <c:invertIfNegative val="0"/>
          <c:cat>
            <c:strRef>
              <c:f>region_wise_avg_income_by_gen!$A$5:$A$7</c:f>
              <c:strCache>
                <c:ptCount val="2"/>
                <c:pt idx="0">
                  <c:v>M</c:v>
                </c:pt>
                <c:pt idx="1">
                  <c:v>S</c:v>
                </c:pt>
              </c:strCache>
            </c:strRef>
          </c:cat>
          <c:val>
            <c:numRef>
              <c:f>region_wise_avg_income_by_gen!$B$5:$B$7</c:f>
              <c:numCache>
                <c:formatCode>"$"#,##0.00</c:formatCode>
                <c:ptCount val="2"/>
                <c:pt idx="0">
                  <c:v>18030000</c:v>
                </c:pt>
                <c:pt idx="1">
                  <c:v>11190000</c:v>
                </c:pt>
              </c:numCache>
            </c:numRef>
          </c:val>
          <c:extLst>
            <c:ext xmlns:c16="http://schemas.microsoft.com/office/drawing/2014/chart" uri="{C3380CC4-5D6E-409C-BE32-E72D297353CC}">
              <c16:uniqueId val="{00000000-0CF7-5C4E-8E9F-708866339C1A}"/>
            </c:ext>
          </c:extLst>
        </c:ser>
        <c:ser>
          <c:idx val="1"/>
          <c:order val="1"/>
          <c:tx>
            <c:strRef>
              <c:f>region_wise_avg_income_by_gen!$C$3:$C$4</c:f>
              <c:strCache>
                <c:ptCount val="1"/>
                <c:pt idx="0">
                  <c:v>Yes</c:v>
                </c:pt>
              </c:strCache>
            </c:strRef>
          </c:tx>
          <c:spPr>
            <a:solidFill>
              <a:schemeClr val="accent4"/>
            </a:solidFill>
            <a:ln>
              <a:noFill/>
            </a:ln>
            <a:effectLst/>
          </c:spPr>
          <c:invertIfNegative val="0"/>
          <c:cat>
            <c:strRef>
              <c:f>region_wise_avg_income_by_gen!$A$5:$A$7</c:f>
              <c:strCache>
                <c:ptCount val="2"/>
                <c:pt idx="0">
                  <c:v>M</c:v>
                </c:pt>
                <c:pt idx="1">
                  <c:v>S</c:v>
                </c:pt>
              </c:strCache>
            </c:strRef>
          </c:cat>
          <c:val>
            <c:numRef>
              <c:f>region_wise_avg_income_by_gen!$C$5:$C$7</c:f>
              <c:numCache>
                <c:formatCode>"$"#,##0.00</c:formatCode>
                <c:ptCount val="2"/>
                <c:pt idx="0">
                  <c:v>14180000</c:v>
                </c:pt>
                <c:pt idx="1">
                  <c:v>14270000</c:v>
                </c:pt>
              </c:numCache>
            </c:numRef>
          </c:val>
          <c:extLst>
            <c:ext xmlns:c16="http://schemas.microsoft.com/office/drawing/2014/chart" uri="{C3380CC4-5D6E-409C-BE32-E72D297353CC}">
              <c16:uniqueId val="{00000000-47D7-B843-B69C-3B654B2F89E0}"/>
            </c:ext>
          </c:extLst>
        </c:ser>
        <c:dLbls>
          <c:showLegendKey val="0"/>
          <c:showVal val="0"/>
          <c:showCatName val="0"/>
          <c:showSerName val="0"/>
          <c:showPercent val="0"/>
          <c:showBubbleSize val="0"/>
        </c:dLbls>
        <c:gapWidth val="219"/>
        <c:overlap val="100"/>
        <c:axId val="1501489920"/>
        <c:axId val="1329204080"/>
      </c:barChart>
      <c:catAx>
        <c:axId val="150148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204080"/>
        <c:crosses val="autoZero"/>
        <c:auto val="1"/>
        <c:lblAlgn val="ctr"/>
        <c:lblOffset val="100"/>
        <c:noMultiLvlLbl val="0"/>
      </c:catAx>
      <c:valAx>
        <c:axId val="1329204080"/>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489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solved.xlsx]age_group_wise_bike_Pur!age_grp_wise_bike_pur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Bike Purchase Count by Age Group</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solidFill>
          <a:ln>
            <a:noFill/>
          </a:ln>
          <a:effectLst/>
        </c:spPr>
      </c:pivotFmt>
      <c:pivotFmt>
        <c:idx val="4"/>
        <c:spPr>
          <a:solidFill>
            <a:schemeClr val="accent1">
              <a:lumMod val="60000"/>
              <a:lumOff val="40000"/>
            </a:schemeClr>
          </a:solidFill>
          <a:ln>
            <a:noFill/>
          </a:ln>
          <a:effectLst/>
        </c:spPr>
      </c:pivotFmt>
      <c:pivotFmt>
        <c:idx val="5"/>
        <c:spPr>
          <a:solidFill>
            <a:schemeClr val="accent1">
              <a:lumMod val="20000"/>
              <a:lumOff val="80000"/>
            </a:schemeClr>
          </a:solidFill>
          <a:ln>
            <a:noFill/>
          </a:ln>
          <a:effectLst/>
        </c:spPr>
      </c:pivotFmt>
    </c:pivotFmts>
    <c:plotArea>
      <c:layout/>
      <c:barChart>
        <c:barDir val="col"/>
        <c:grouping val="clustered"/>
        <c:varyColors val="0"/>
        <c:ser>
          <c:idx val="0"/>
          <c:order val="0"/>
          <c:tx>
            <c:strRef>
              <c:f>age_group_wise_bike_Pur!$B$3:$B$4</c:f>
              <c:strCache>
                <c:ptCount val="1"/>
                <c:pt idx="0">
                  <c:v>Total</c:v>
                </c:pt>
              </c:strCache>
            </c:strRef>
          </c:tx>
          <c:spPr>
            <a:solidFill>
              <a:schemeClr val="accent1">
                <a:lumMod val="20000"/>
                <a:lumOff val="80000"/>
              </a:schemeClr>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2-DBC5-8449-BE1C-E7B49EA9472C}"/>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DBC5-8449-BE1C-E7B49EA9472C}"/>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4-DBC5-8449-BE1C-E7B49EA9472C}"/>
              </c:ext>
            </c:extLst>
          </c:dPt>
          <c:dPt>
            <c:idx val="3"/>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DBC5-8449-BE1C-E7B49EA947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age_group_wise_bike_Pur!$A$5:$A$12</c:f>
              <c:strCache>
                <c:ptCount val="7"/>
                <c:pt idx="0">
                  <c:v>25-34</c:v>
                </c:pt>
                <c:pt idx="1">
                  <c:v>35-44</c:v>
                </c:pt>
                <c:pt idx="2">
                  <c:v>45-54</c:v>
                </c:pt>
                <c:pt idx="3">
                  <c:v>55-64</c:v>
                </c:pt>
                <c:pt idx="4">
                  <c:v>65-74</c:v>
                </c:pt>
                <c:pt idx="5">
                  <c:v>75-84</c:v>
                </c:pt>
                <c:pt idx="6">
                  <c:v>85-94</c:v>
                </c:pt>
              </c:strCache>
            </c:strRef>
          </c:cat>
          <c:val>
            <c:numRef>
              <c:f>age_group_wise_bike_Pur!$B$5:$B$12</c:f>
              <c:numCache>
                <c:formatCode>General</c:formatCode>
                <c:ptCount val="7"/>
                <c:pt idx="0">
                  <c:v>225</c:v>
                </c:pt>
                <c:pt idx="1">
                  <c:v>341</c:v>
                </c:pt>
                <c:pt idx="2">
                  <c:v>265</c:v>
                </c:pt>
                <c:pt idx="3">
                  <c:v>136</c:v>
                </c:pt>
                <c:pt idx="4">
                  <c:v>55</c:v>
                </c:pt>
                <c:pt idx="5">
                  <c:v>3</c:v>
                </c:pt>
                <c:pt idx="6">
                  <c:v>1</c:v>
                </c:pt>
              </c:numCache>
            </c:numRef>
          </c:val>
          <c:extLst>
            <c:ext xmlns:c16="http://schemas.microsoft.com/office/drawing/2014/chart" uri="{C3380CC4-5D6E-409C-BE32-E72D297353CC}">
              <c16:uniqueId val="{00000000-DBC5-8449-BE1C-E7B49EA9472C}"/>
            </c:ext>
          </c:extLst>
        </c:ser>
        <c:dLbls>
          <c:showLegendKey val="0"/>
          <c:showVal val="0"/>
          <c:showCatName val="0"/>
          <c:showSerName val="0"/>
          <c:showPercent val="0"/>
          <c:showBubbleSize val="0"/>
        </c:dLbls>
        <c:gapWidth val="219"/>
        <c:axId val="1500879168"/>
        <c:axId val="1500908768"/>
      </c:barChart>
      <c:catAx>
        <c:axId val="150087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908768"/>
        <c:crosses val="autoZero"/>
        <c:auto val="1"/>
        <c:lblAlgn val="ctr"/>
        <c:lblOffset val="100"/>
        <c:noMultiLvlLbl val="0"/>
      </c:catAx>
      <c:valAx>
        <c:axId val="1500908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87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solved.xlsx]rgn_wise_avg_age_of_marital_sts!rgn_wise_avg_Ageof_marital_status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Region</a:t>
            </a:r>
            <a:r>
              <a:rPr lang="en-GB" b="1" baseline="0"/>
              <a:t> wise Bike Purchase</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pivotFmt>
      <c:pivotFmt>
        <c:idx val="3"/>
      </c:pivotFmt>
      <c:pivotFmt>
        <c:idx val="4"/>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rgn_wise_avg_age_of_marital_sts!$B$3:$B$4</c:f>
              <c:strCache>
                <c:ptCount val="1"/>
                <c:pt idx="0">
                  <c:v>Total</c:v>
                </c:pt>
              </c:strCache>
            </c:strRef>
          </c:tx>
          <c:spPr>
            <a:solidFill>
              <a:schemeClr val="accent1"/>
            </a:solidFill>
            <a:ln>
              <a:noFill/>
            </a:ln>
            <a:effectLst/>
          </c:spPr>
          <c:invertIfNegative val="0"/>
          <c:cat>
            <c:strRef>
              <c:f>rgn_wise_avg_age_of_marital_sts!$A$5:$A$8</c:f>
              <c:strCache>
                <c:ptCount val="3"/>
                <c:pt idx="0">
                  <c:v>Europe</c:v>
                </c:pt>
                <c:pt idx="1">
                  <c:v>North America</c:v>
                </c:pt>
                <c:pt idx="2">
                  <c:v>Pacific</c:v>
                </c:pt>
              </c:strCache>
            </c:strRef>
          </c:cat>
          <c:val>
            <c:numRef>
              <c:f>rgn_wise_avg_age_of_marital_sts!$B$5:$B$8</c:f>
              <c:numCache>
                <c:formatCode>0</c:formatCode>
                <c:ptCount val="3"/>
                <c:pt idx="0">
                  <c:v>316</c:v>
                </c:pt>
                <c:pt idx="1">
                  <c:v>508</c:v>
                </c:pt>
                <c:pt idx="2">
                  <c:v>202</c:v>
                </c:pt>
              </c:numCache>
            </c:numRef>
          </c:val>
          <c:extLst>
            <c:ext xmlns:c16="http://schemas.microsoft.com/office/drawing/2014/chart" uri="{C3380CC4-5D6E-409C-BE32-E72D297353CC}">
              <c16:uniqueId val="{00000000-41CC-2F42-9011-15775B46BB1E}"/>
            </c:ext>
          </c:extLst>
        </c:ser>
        <c:dLbls>
          <c:showLegendKey val="0"/>
          <c:showVal val="0"/>
          <c:showCatName val="0"/>
          <c:showSerName val="0"/>
          <c:showPercent val="0"/>
          <c:showBubbleSize val="0"/>
        </c:dLbls>
        <c:gapWidth val="219"/>
        <c:overlap val="-27"/>
        <c:axId val="1976058480"/>
        <c:axId val="1976130256"/>
      </c:barChart>
      <c:catAx>
        <c:axId val="197605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130256"/>
        <c:crosses val="autoZero"/>
        <c:auto val="1"/>
        <c:lblAlgn val="ctr"/>
        <c:lblOffset val="100"/>
        <c:noMultiLvlLbl val="0"/>
      </c:catAx>
      <c:valAx>
        <c:axId val="19761302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05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solved.xlsx]occ_wise_total_income!occ_wise_total_income</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Occupation</a:t>
            </a:r>
            <a:r>
              <a:rPr lang="en-GB" b="1" baseline="0"/>
              <a:t> wise Total Income By Gender </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4">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984224653795236"/>
          <c:y val="0.16783967058972765"/>
          <c:w val="0.6950662882657489"/>
          <c:h val="0.52345029252619357"/>
        </c:manualLayout>
      </c:layout>
      <c:bar3DChart>
        <c:barDir val="col"/>
        <c:grouping val="clustered"/>
        <c:varyColors val="0"/>
        <c:ser>
          <c:idx val="0"/>
          <c:order val="0"/>
          <c:tx>
            <c:strRef>
              <c:f>occ_wise_total_income!$B$3:$B$4</c:f>
              <c:strCache>
                <c:ptCount val="1"/>
                <c:pt idx="0">
                  <c:v>Total</c:v>
                </c:pt>
              </c:strCache>
            </c:strRef>
          </c:tx>
          <c:spPr>
            <a:solidFill>
              <a:schemeClr val="accent1"/>
            </a:solidFill>
            <a:ln>
              <a:noFill/>
            </a:ln>
            <a:effectLst/>
            <a:sp3d/>
          </c:spPr>
          <c:invertIfNegative val="0"/>
          <c:cat>
            <c:strRef>
              <c:f>occ_wise_total_income!$A$5:$A$10</c:f>
              <c:strCache>
                <c:ptCount val="5"/>
                <c:pt idx="0">
                  <c:v>Clerical</c:v>
                </c:pt>
                <c:pt idx="1">
                  <c:v>Management</c:v>
                </c:pt>
                <c:pt idx="2">
                  <c:v>Manual</c:v>
                </c:pt>
                <c:pt idx="3">
                  <c:v>Professional</c:v>
                </c:pt>
                <c:pt idx="4">
                  <c:v>Skilled Manual</c:v>
                </c:pt>
              </c:strCache>
            </c:strRef>
          </c:cat>
          <c:val>
            <c:numRef>
              <c:f>occ_wise_total_income!$B$5:$B$10</c:f>
              <c:numCache>
                <c:formatCode>General</c:formatCode>
                <c:ptCount val="5"/>
                <c:pt idx="0">
                  <c:v>187</c:v>
                </c:pt>
                <c:pt idx="1">
                  <c:v>174</c:v>
                </c:pt>
                <c:pt idx="2">
                  <c:v>126</c:v>
                </c:pt>
                <c:pt idx="3">
                  <c:v>280</c:v>
                </c:pt>
                <c:pt idx="4">
                  <c:v>259</c:v>
                </c:pt>
              </c:numCache>
            </c:numRef>
          </c:val>
          <c:extLst>
            <c:ext xmlns:c16="http://schemas.microsoft.com/office/drawing/2014/chart" uri="{C3380CC4-5D6E-409C-BE32-E72D297353CC}">
              <c16:uniqueId val="{00000000-BC19-BD44-B334-742A7F3718B4}"/>
            </c:ext>
          </c:extLst>
        </c:ser>
        <c:dLbls>
          <c:showLegendKey val="0"/>
          <c:showVal val="0"/>
          <c:showCatName val="0"/>
          <c:showSerName val="0"/>
          <c:showPercent val="0"/>
          <c:showBubbleSize val="0"/>
        </c:dLbls>
        <c:gapWidth val="219"/>
        <c:shape val="box"/>
        <c:axId val="554102560"/>
        <c:axId val="1351021440"/>
        <c:axId val="0"/>
      </c:bar3DChart>
      <c:catAx>
        <c:axId val="55410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021440"/>
        <c:crosses val="autoZero"/>
        <c:auto val="1"/>
        <c:lblAlgn val="ctr"/>
        <c:lblOffset val="100"/>
        <c:noMultiLvlLbl val="0"/>
      </c:catAx>
      <c:valAx>
        <c:axId val="1351021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102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solved.xlsx]bike_pur_by_edu!bike_pur_by_edu</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Education wise percentage of Bike purchase</a:t>
            </a:r>
          </a:p>
        </c:rich>
      </c:tx>
      <c:layout>
        <c:manualLayout>
          <c:xMode val="edge"/>
          <c:yMode val="edge"/>
          <c:x val="0.2059003550248914"/>
          <c:y val="5.33333333333333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472C4">
              <a:alpha val="50196"/>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alpha val="93156"/>
            </a:srgbClr>
          </a:solidFill>
          <a:ln>
            <a:noFill/>
          </a:ln>
          <a:effectLst/>
        </c:spPr>
      </c:pivotFmt>
      <c:pivotFmt>
        <c:idx val="2"/>
        <c:spPr>
          <a:solidFill>
            <a:schemeClr val="accent4">
              <a:lumMod val="60000"/>
              <a:lumOff val="40000"/>
            </a:schemeClr>
          </a:solidFill>
          <a:ln>
            <a:noFill/>
          </a:ln>
          <a:effectLst/>
        </c:spPr>
      </c:pivotFmt>
      <c:pivotFmt>
        <c:idx val="3"/>
        <c:spPr>
          <a:solidFill>
            <a:schemeClr val="accent4">
              <a:lumMod val="60000"/>
              <a:lumOff val="40000"/>
            </a:schemeClr>
          </a:solidFill>
          <a:ln>
            <a:noFill/>
          </a:ln>
          <a:effectLst/>
        </c:spPr>
      </c:pivotFmt>
      <c:pivotFmt>
        <c:idx val="4"/>
        <c:spPr>
          <a:solidFill>
            <a:schemeClr val="accent2">
              <a:lumMod val="75000"/>
              <a:alpha val="90000"/>
            </a:schemeClr>
          </a:solidFill>
          <a:ln>
            <a:noFill/>
          </a:ln>
          <a:effectLst/>
        </c:spPr>
      </c:pivotFmt>
      <c:pivotFmt>
        <c:idx val="5"/>
        <c:spPr>
          <a:solidFill>
            <a:srgbClr val="4472C4"/>
          </a:solidFill>
          <a:ln>
            <a:noFill/>
          </a:ln>
          <a:effectLst/>
        </c:spPr>
      </c:pivotFmt>
      <c:pivotFmt>
        <c:idx val="6"/>
        <c:spPr>
          <a:solidFill>
            <a:schemeClr val="accent6">
              <a:lumMod val="60000"/>
              <a:lumOff val="40000"/>
            </a:schemeClr>
          </a:solidFill>
          <a:ln>
            <a:noFill/>
          </a:ln>
          <a:effectLst/>
        </c:spPr>
      </c:pivotFmt>
      <c:pivotFmt>
        <c:idx val="7"/>
        <c:spPr>
          <a:solidFill>
            <a:srgbClr val="FF0000">
              <a:alpha val="50196"/>
            </a:srgbClr>
          </a:solidFill>
          <a:ln>
            <a:noFill/>
          </a:ln>
          <a:effectLst/>
        </c:spPr>
      </c:pivotFmt>
    </c:pivotFmts>
    <c:plotArea>
      <c:layout/>
      <c:doughnutChart>
        <c:varyColors val="1"/>
        <c:ser>
          <c:idx val="0"/>
          <c:order val="0"/>
          <c:tx>
            <c:strRef>
              <c:f>bike_pur_by_edu!$B$3:$B$4</c:f>
              <c:strCache>
                <c:ptCount val="1"/>
                <c:pt idx="0">
                  <c:v>Total</c:v>
                </c:pt>
              </c:strCache>
            </c:strRef>
          </c:tx>
          <c:spPr>
            <a:solidFill>
              <a:srgbClr val="4472C4">
                <a:alpha val="50196"/>
              </a:srgbClr>
            </a:solidFill>
          </c:spPr>
          <c:dPt>
            <c:idx val="0"/>
            <c:bubble3D val="0"/>
            <c:spPr>
              <a:solidFill>
                <a:schemeClr val="accent4">
                  <a:lumMod val="60000"/>
                  <a:lumOff val="40000"/>
                </a:schemeClr>
              </a:solidFill>
              <a:ln>
                <a:noFill/>
              </a:ln>
              <a:effectLst/>
            </c:spPr>
            <c:extLst>
              <c:ext xmlns:c16="http://schemas.microsoft.com/office/drawing/2014/chart" uri="{C3380CC4-5D6E-409C-BE32-E72D297353CC}">
                <c16:uniqueId val="{00000003-11CA-A24B-BF18-3C3DCCAC0E51}"/>
              </c:ext>
            </c:extLst>
          </c:dPt>
          <c:dPt>
            <c:idx val="1"/>
            <c:bubble3D val="0"/>
            <c:spPr>
              <a:solidFill>
                <a:schemeClr val="accent2">
                  <a:lumMod val="75000"/>
                  <a:alpha val="90000"/>
                </a:schemeClr>
              </a:solidFill>
              <a:ln>
                <a:noFill/>
              </a:ln>
              <a:effectLst/>
            </c:spPr>
            <c:extLst>
              <c:ext xmlns:c16="http://schemas.microsoft.com/office/drawing/2014/chart" uri="{C3380CC4-5D6E-409C-BE32-E72D297353CC}">
                <c16:uniqueId val="{00000002-11CA-A24B-BF18-3C3DCCAC0E51}"/>
              </c:ext>
            </c:extLst>
          </c:dPt>
          <c:dPt>
            <c:idx val="2"/>
            <c:bubble3D val="0"/>
            <c:spPr>
              <a:solidFill>
                <a:srgbClr val="4472C4"/>
              </a:solidFill>
              <a:ln>
                <a:noFill/>
              </a:ln>
              <a:effectLst/>
            </c:spPr>
            <c:extLst>
              <c:ext xmlns:c16="http://schemas.microsoft.com/office/drawing/2014/chart" uri="{C3380CC4-5D6E-409C-BE32-E72D297353CC}">
                <c16:uniqueId val="{00000004-11CA-A24B-BF18-3C3DCCAC0E51}"/>
              </c:ext>
            </c:extLst>
          </c:dPt>
          <c:dPt>
            <c:idx val="3"/>
            <c:bubble3D val="0"/>
            <c:spPr>
              <a:solidFill>
                <a:schemeClr val="accent6">
                  <a:lumMod val="60000"/>
                  <a:lumOff val="40000"/>
                </a:schemeClr>
              </a:solidFill>
              <a:ln>
                <a:noFill/>
              </a:ln>
              <a:effectLst/>
            </c:spPr>
            <c:extLst>
              <c:ext xmlns:c16="http://schemas.microsoft.com/office/drawing/2014/chart" uri="{C3380CC4-5D6E-409C-BE32-E72D297353CC}">
                <c16:uniqueId val="{00000005-11CA-A24B-BF18-3C3DCCAC0E51}"/>
              </c:ext>
            </c:extLst>
          </c:dPt>
          <c:dPt>
            <c:idx val="4"/>
            <c:bubble3D val="0"/>
            <c:spPr>
              <a:solidFill>
                <a:srgbClr val="FF0000">
                  <a:alpha val="50196"/>
                </a:srgbClr>
              </a:solidFill>
              <a:ln>
                <a:noFill/>
              </a:ln>
              <a:effectLst/>
            </c:spPr>
            <c:extLst>
              <c:ext xmlns:c16="http://schemas.microsoft.com/office/drawing/2014/chart" uri="{C3380CC4-5D6E-409C-BE32-E72D297353CC}">
                <c16:uniqueId val="{00000006-11CA-A24B-BF18-3C3DCCAC0E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bike_pur_by_edu!$A$5:$A$10</c:f>
              <c:strCache>
                <c:ptCount val="5"/>
                <c:pt idx="0">
                  <c:v>Bachelors</c:v>
                </c:pt>
                <c:pt idx="1">
                  <c:v>Graduate Degree</c:v>
                </c:pt>
                <c:pt idx="2">
                  <c:v>High School</c:v>
                </c:pt>
                <c:pt idx="3">
                  <c:v>Partial College</c:v>
                </c:pt>
                <c:pt idx="4">
                  <c:v>Partial High School</c:v>
                </c:pt>
              </c:strCache>
            </c:strRef>
          </c:cat>
          <c:val>
            <c:numRef>
              <c:f>bike_pur_by_edu!$B$5:$B$10</c:f>
              <c:numCache>
                <c:formatCode>0%</c:formatCode>
                <c:ptCount val="5"/>
                <c:pt idx="0">
                  <c:v>0.30311890838206629</c:v>
                </c:pt>
                <c:pt idx="1">
                  <c:v>0.1705653021442495</c:v>
                </c:pt>
                <c:pt idx="2">
                  <c:v>0.17933723196881091</c:v>
                </c:pt>
                <c:pt idx="3">
                  <c:v>0.27095516569200778</c:v>
                </c:pt>
                <c:pt idx="4">
                  <c:v>7.6023391812865493E-2</c:v>
                </c:pt>
              </c:numCache>
            </c:numRef>
          </c:val>
          <c:extLst>
            <c:ext xmlns:c16="http://schemas.microsoft.com/office/drawing/2014/chart" uri="{C3380CC4-5D6E-409C-BE32-E72D297353CC}">
              <c16:uniqueId val="{00000000-11CA-A24B-BF18-3C3DCCAC0E5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solved.xlsx]Age_grp_Wise_total_income!age_grp_wise_ttl_income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Age group &amp; Total income</a:t>
            </a:r>
            <a:r>
              <a:rPr lang="en-GB" b="1" baseline="0"/>
              <a:t> wise</a:t>
            </a:r>
            <a:r>
              <a:rPr lang="en-GB" b="1"/>
              <a:t> bike</a:t>
            </a:r>
            <a:r>
              <a:rPr lang="en-GB" b="1" baseline="0"/>
              <a:t> purchase</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2FD5"/>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2FD5"/>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FF2FD5"/>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Age_grp_Wise_total_income!$B$3:$B$4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Age_grp_Wise_total_income!$A$5:$A$12</c:f>
              <c:strCache>
                <c:ptCount val="7"/>
                <c:pt idx="0">
                  <c:v>25-34</c:v>
                </c:pt>
                <c:pt idx="1">
                  <c:v>35-44</c:v>
                </c:pt>
                <c:pt idx="2">
                  <c:v>45-54</c:v>
                </c:pt>
                <c:pt idx="3">
                  <c:v>55-64</c:v>
                </c:pt>
                <c:pt idx="4">
                  <c:v>65-74</c:v>
                </c:pt>
                <c:pt idx="5">
                  <c:v>75-84</c:v>
                </c:pt>
                <c:pt idx="6">
                  <c:v>85-94</c:v>
                </c:pt>
              </c:strCache>
            </c:strRef>
          </c:cat>
          <c:val>
            <c:numRef>
              <c:f>Age_grp_Wise_total_income!$B$5:$B$12</c:f>
              <c:numCache>
                <c:formatCode>"$"#,##0.00</c:formatCode>
                <c:ptCount val="7"/>
                <c:pt idx="0">
                  <c:v>4940000</c:v>
                </c:pt>
                <c:pt idx="1">
                  <c:v>8130000</c:v>
                </c:pt>
                <c:pt idx="2">
                  <c:v>7980000</c:v>
                </c:pt>
                <c:pt idx="3">
                  <c:v>5920000</c:v>
                </c:pt>
                <c:pt idx="4">
                  <c:v>2150000</c:v>
                </c:pt>
                <c:pt idx="5">
                  <c:v>60000</c:v>
                </c:pt>
                <c:pt idx="6">
                  <c:v>40000</c:v>
                </c:pt>
              </c:numCache>
            </c:numRef>
          </c:val>
          <c:smooth val="0"/>
          <c:extLst>
            <c:ext xmlns:c16="http://schemas.microsoft.com/office/drawing/2014/chart" uri="{C3380CC4-5D6E-409C-BE32-E72D297353CC}">
              <c16:uniqueId val="{00000000-6F2A-1A44-B0FF-125EC379E234}"/>
            </c:ext>
          </c:extLst>
        </c:ser>
        <c:ser>
          <c:idx val="1"/>
          <c:order val="1"/>
          <c:tx>
            <c:strRef>
              <c:f>Age_grp_Wise_total_income!$C$3:$C$4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Age_grp_Wise_total_income!$A$5:$A$12</c:f>
              <c:strCache>
                <c:ptCount val="7"/>
                <c:pt idx="0">
                  <c:v>25-34</c:v>
                </c:pt>
                <c:pt idx="1">
                  <c:v>35-44</c:v>
                </c:pt>
                <c:pt idx="2">
                  <c:v>45-54</c:v>
                </c:pt>
                <c:pt idx="3">
                  <c:v>55-64</c:v>
                </c:pt>
                <c:pt idx="4">
                  <c:v>65-74</c:v>
                </c:pt>
                <c:pt idx="5">
                  <c:v>75-84</c:v>
                </c:pt>
                <c:pt idx="6">
                  <c:v>85-94</c:v>
                </c:pt>
              </c:strCache>
            </c:strRef>
          </c:cat>
          <c:val>
            <c:numRef>
              <c:f>Age_grp_Wise_total_income!$C$5:$C$12</c:f>
              <c:numCache>
                <c:formatCode>"$"#,##0.00</c:formatCode>
                <c:ptCount val="7"/>
                <c:pt idx="0">
                  <c:v>4470000</c:v>
                </c:pt>
                <c:pt idx="1">
                  <c:v>11780000</c:v>
                </c:pt>
                <c:pt idx="2">
                  <c:v>8740000</c:v>
                </c:pt>
                <c:pt idx="3">
                  <c:v>2510000</c:v>
                </c:pt>
                <c:pt idx="4">
                  <c:v>850000</c:v>
                </c:pt>
                <c:pt idx="5">
                  <c:v>100000</c:v>
                </c:pt>
              </c:numCache>
            </c:numRef>
          </c:val>
          <c:smooth val="0"/>
          <c:extLst>
            <c:ext xmlns:c16="http://schemas.microsoft.com/office/drawing/2014/chart" uri="{C3380CC4-5D6E-409C-BE32-E72D297353CC}">
              <c16:uniqueId val="{00000001-6F2A-1A44-B0FF-125EC379E234}"/>
            </c:ext>
          </c:extLst>
        </c:ser>
        <c:dLbls>
          <c:showLegendKey val="0"/>
          <c:showVal val="0"/>
          <c:showCatName val="0"/>
          <c:showSerName val="0"/>
          <c:showPercent val="0"/>
          <c:showBubbleSize val="0"/>
        </c:dLbls>
        <c:marker val="1"/>
        <c:smooth val="0"/>
        <c:axId val="1584588640"/>
        <c:axId val="1554538704"/>
      </c:lineChart>
      <c:catAx>
        <c:axId val="158458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538704"/>
        <c:crosses val="autoZero"/>
        <c:auto val="1"/>
        <c:lblAlgn val="ctr"/>
        <c:lblOffset val="100"/>
        <c:noMultiLvlLbl val="0"/>
      </c:catAx>
      <c:valAx>
        <c:axId val="15545387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588640"/>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solved.xlsx]Age_grp_Wise_total_income!age_grp_wise_ttl_income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Age group &amp; Total income</a:t>
            </a:r>
            <a:r>
              <a:rPr lang="en-GB" b="1" baseline="0"/>
              <a:t> wise</a:t>
            </a:r>
            <a:r>
              <a:rPr lang="en-GB" b="1"/>
              <a:t> bike</a:t>
            </a:r>
            <a:r>
              <a:rPr lang="en-GB" b="1" baseline="0"/>
              <a:t> purchase</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2FD5"/>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2FD5"/>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F2FD5"/>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2FD5"/>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Age_grp_Wise_total_income!$B$3:$B$4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Age_grp_Wise_total_income!$A$5:$A$12</c:f>
              <c:strCache>
                <c:ptCount val="7"/>
                <c:pt idx="0">
                  <c:v>25-34</c:v>
                </c:pt>
                <c:pt idx="1">
                  <c:v>35-44</c:v>
                </c:pt>
                <c:pt idx="2">
                  <c:v>45-54</c:v>
                </c:pt>
                <c:pt idx="3">
                  <c:v>55-64</c:v>
                </c:pt>
                <c:pt idx="4">
                  <c:v>65-74</c:v>
                </c:pt>
                <c:pt idx="5">
                  <c:v>75-84</c:v>
                </c:pt>
                <c:pt idx="6">
                  <c:v>85-94</c:v>
                </c:pt>
              </c:strCache>
            </c:strRef>
          </c:cat>
          <c:val>
            <c:numRef>
              <c:f>Age_grp_Wise_total_income!$B$5:$B$12</c:f>
              <c:numCache>
                <c:formatCode>"$"#,##0.00</c:formatCode>
                <c:ptCount val="7"/>
                <c:pt idx="0">
                  <c:v>4940000</c:v>
                </c:pt>
                <c:pt idx="1">
                  <c:v>8130000</c:v>
                </c:pt>
                <c:pt idx="2">
                  <c:v>7980000</c:v>
                </c:pt>
                <c:pt idx="3">
                  <c:v>5920000</c:v>
                </c:pt>
                <c:pt idx="4">
                  <c:v>2150000</c:v>
                </c:pt>
                <c:pt idx="5">
                  <c:v>60000</c:v>
                </c:pt>
                <c:pt idx="6">
                  <c:v>40000</c:v>
                </c:pt>
              </c:numCache>
            </c:numRef>
          </c:val>
          <c:smooth val="0"/>
          <c:extLst>
            <c:ext xmlns:c16="http://schemas.microsoft.com/office/drawing/2014/chart" uri="{C3380CC4-5D6E-409C-BE32-E72D297353CC}">
              <c16:uniqueId val="{00000000-6309-C642-8720-9D6ACAE693CE}"/>
            </c:ext>
          </c:extLst>
        </c:ser>
        <c:ser>
          <c:idx val="1"/>
          <c:order val="1"/>
          <c:tx>
            <c:strRef>
              <c:f>Age_grp_Wise_total_income!$C$3:$C$4</c:f>
              <c:strCache>
                <c:ptCount val="1"/>
                <c:pt idx="0">
                  <c:v>Yes</c:v>
                </c:pt>
              </c:strCache>
            </c:strRef>
          </c:tx>
          <c:spPr>
            <a:ln w="28575" cap="rnd">
              <a:solidFill>
                <a:srgbClr val="FF2FD5"/>
              </a:solidFill>
              <a:round/>
            </a:ln>
            <a:effectLst/>
          </c:spPr>
          <c:marker>
            <c:symbol val="circle"/>
            <c:size val="5"/>
            <c:spPr>
              <a:solidFill>
                <a:schemeClr val="accent2"/>
              </a:solidFill>
              <a:ln w="9525">
                <a:solidFill>
                  <a:schemeClr val="accent2"/>
                </a:solidFill>
              </a:ln>
              <a:effectLst/>
            </c:spPr>
          </c:marker>
          <c:cat>
            <c:strRef>
              <c:f>Age_grp_Wise_total_income!$A$5:$A$12</c:f>
              <c:strCache>
                <c:ptCount val="7"/>
                <c:pt idx="0">
                  <c:v>25-34</c:v>
                </c:pt>
                <c:pt idx="1">
                  <c:v>35-44</c:v>
                </c:pt>
                <c:pt idx="2">
                  <c:v>45-54</c:v>
                </c:pt>
                <c:pt idx="3">
                  <c:v>55-64</c:v>
                </c:pt>
                <c:pt idx="4">
                  <c:v>65-74</c:v>
                </c:pt>
                <c:pt idx="5">
                  <c:v>75-84</c:v>
                </c:pt>
                <c:pt idx="6">
                  <c:v>85-94</c:v>
                </c:pt>
              </c:strCache>
            </c:strRef>
          </c:cat>
          <c:val>
            <c:numRef>
              <c:f>Age_grp_Wise_total_income!$C$5:$C$12</c:f>
              <c:numCache>
                <c:formatCode>"$"#,##0.00</c:formatCode>
                <c:ptCount val="7"/>
                <c:pt idx="0">
                  <c:v>4470000</c:v>
                </c:pt>
                <c:pt idx="1">
                  <c:v>11780000</c:v>
                </c:pt>
                <c:pt idx="2">
                  <c:v>8740000</c:v>
                </c:pt>
                <c:pt idx="3">
                  <c:v>2510000</c:v>
                </c:pt>
                <c:pt idx="4">
                  <c:v>850000</c:v>
                </c:pt>
                <c:pt idx="5">
                  <c:v>100000</c:v>
                </c:pt>
              </c:numCache>
            </c:numRef>
          </c:val>
          <c:smooth val="0"/>
          <c:extLst>
            <c:ext xmlns:c16="http://schemas.microsoft.com/office/drawing/2014/chart" uri="{C3380CC4-5D6E-409C-BE32-E72D297353CC}">
              <c16:uniqueId val="{00000001-FEEE-4140-BC7E-B215A2E20916}"/>
            </c:ext>
          </c:extLst>
        </c:ser>
        <c:dLbls>
          <c:showLegendKey val="0"/>
          <c:showVal val="0"/>
          <c:showCatName val="0"/>
          <c:showSerName val="0"/>
          <c:showPercent val="0"/>
          <c:showBubbleSize val="0"/>
        </c:dLbls>
        <c:marker val="1"/>
        <c:smooth val="0"/>
        <c:axId val="1584588640"/>
        <c:axId val="1554538704"/>
      </c:lineChart>
      <c:catAx>
        <c:axId val="158458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538704"/>
        <c:crosses val="autoZero"/>
        <c:auto val="1"/>
        <c:lblAlgn val="ctr"/>
        <c:lblOffset val="100"/>
        <c:noMultiLvlLbl val="0"/>
      </c:catAx>
      <c:valAx>
        <c:axId val="15545387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588640"/>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solved.xlsx]bike_pur_by_edu!bike_pur_by_edu</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Education wise percentage of Bike purchase</a:t>
            </a:r>
          </a:p>
        </c:rich>
      </c:tx>
      <c:layout>
        <c:manualLayout>
          <c:xMode val="edge"/>
          <c:yMode val="edge"/>
          <c:x val="0.11336302738277117"/>
          <c:y val="5.67816997013304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472C4">
              <a:alpha val="50196"/>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alpha val="93156"/>
            </a:srgbClr>
          </a:solidFill>
          <a:ln>
            <a:noFill/>
          </a:ln>
          <a:effectLst/>
        </c:spPr>
      </c:pivotFmt>
      <c:pivotFmt>
        <c:idx val="2"/>
        <c:spPr>
          <a:solidFill>
            <a:schemeClr val="accent4">
              <a:lumMod val="60000"/>
              <a:lumOff val="40000"/>
            </a:schemeClr>
          </a:solidFill>
          <a:ln>
            <a:noFill/>
          </a:ln>
          <a:effectLst/>
        </c:spPr>
      </c:pivotFmt>
      <c:pivotFmt>
        <c:idx val="3"/>
        <c:spPr>
          <a:solidFill>
            <a:schemeClr val="accent4">
              <a:lumMod val="60000"/>
              <a:lumOff val="40000"/>
            </a:schemeClr>
          </a:solidFill>
          <a:ln>
            <a:noFill/>
          </a:ln>
          <a:effectLst/>
        </c:spPr>
      </c:pivotFmt>
      <c:pivotFmt>
        <c:idx val="4"/>
        <c:spPr>
          <a:solidFill>
            <a:schemeClr val="accent2">
              <a:lumMod val="75000"/>
              <a:alpha val="90000"/>
            </a:schemeClr>
          </a:solidFill>
          <a:ln>
            <a:noFill/>
          </a:ln>
          <a:effectLst/>
        </c:spPr>
      </c:pivotFmt>
      <c:pivotFmt>
        <c:idx val="5"/>
        <c:spPr>
          <a:solidFill>
            <a:srgbClr val="4472C4"/>
          </a:solidFill>
          <a:ln>
            <a:noFill/>
          </a:ln>
          <a:effectLst/>
        </c:spPr>
      </c:pivotFmt>
      <c:pivotFmt>
        <c:idx val="6"/>
        <c:spPr>
          <a:solidFill>
            <a:schemeClr val="accent6">
              <a:lumMod val="60000"/>
              <a:lumOff val="40000"/>
            </a:schemeClr>
          </a:solidFill>
          <a:ln>
            <a:noFill/>
          </a:ln>
          <a:effectLst/>
        </c:spPr>
      </c:pivotFmt>
      <c:pivotFmt>
        <c:idx val="7"/>
        <c:spPr>
          <a:solidFill>
            <a:srgbClr val="FF0000">
              <a:alpha val="50196"/>
            </a:srgbClr>
          </a:solidFill>
          <a:ln>
            <a:noFill/>
          </a:ln>
          <a:effectLst/>
        </c:spPr>
      </c:pivotFmt>
      <c:pivotFmt>
        <c:idx val="8"/>
        <c:spPr>
          <a:solidFill>
            <a:srgbClr val="4472C4">
              <a:alpha val="50196"/>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60000"/>
              <a:lumOff val="40000"/>
            </a:schemeClr>
          </a:solidFill>
          <a:ln>
            <a:noFill/>
          </a:ln>
          <a:effectLst/>
        </c:spPr>
      </c:pivotFmt>
      <c:pivotFmt>
        <c:idx val="10"/>
        <c:spPr>
          <a:solidFill>
            <a:schemeClr val="accent2">
              <a:lumMod val="75000"/>
              <a:alpha val="90000"/>
            </a:schemeClr>
          </a:solidFill>
          <a:ln>
            <a:noFill/>
          </a:ln>
          <a:effectLst/>
        </c:spPr>
      </c:pivotFmt>
      <c:pivotFmt>
        <c:idx val="11"/>
        <c:spPr>
          <a:solidFill>
            <a:srgbClr val="4472C4"/>
          </a:solidFill>
          <a:ln>
            <a:noFill/>
          </a:ln>
          <a:effectLst/>
        </c:spPr>
      </c:pivotFmt>
      <c:pivotFmt>
        <c:idx val="12"/>
        <c:spPr>
          <a:solidFill>
            <a:schemeClr val="accent6">
              <a:lumMod val="60000"/>
              <a:lumOff val="40000"/>
            </a:schemeClr>
          </a:solidFill>
          <a:ln>
            <a:noFill/>
          </a:ln>
          <a:effectLst/>
        </c:spPr>
      </c:pivotFmt>
      <c:pivotFmt>
        <c:idx val="13"/>
        <c:spPr>
          <a:solidFill>
            <a:srgbClr val="FF0000">
              <a:alpha val="50196"/>
            </a:srgbClr>
          </a:solidFill>
          <a:ln>
            <a:noFill/>
          </a:ln>
          <a:effectLst/>
        </c:spPr>
      </c:pivotFmt>
      <c:pivotFmt>
        <c:idx val="14"/>
        <c:spPr>
          <a:solidFill>
            <a:srgbClr val="4472C4">
              <a:alpha val="50196"/>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lumMod val="60000"/>
              <a:lumOff val="40000"/>
            </a:schemeClr>
          </a:solidFill>
          <a:ln>
            <a:noFill/>
          </a:ln>
          <a:effectLst/>
        </c:spPr>
      </c:pivotFmt>
      <c:pivotFmt>
        <c:idx val="16"/>
        <c:spPr>
          <a:solidFill>
            <a:schemeClr val="accent2">
              <a:lumMod val="75000"/>
              <a:alpha val="90000"/>
            </a:schemeClr>
          </a:solidFill>
          <a:ln>
            <a:noFill/>
          </a:ln>
          <a:effectLst/>
        </c:spPr>
      </c:pivotFmt>
      <c:pivotFmt>
        <c:idx val="17"/>
        <c:spPr>
          <a:solidFill>
            <a:srgbClr val="4472C4"/>
          </a:solidFill>
          <a:ln>
            <a:noFill/>
          </a:ln>
          <a:effectLst/>
        </c:spPr>
      </c:pivotFmt>
      <c:pivotFmt>
        <c:idx val="18"/>
        <c:spPr>
          <a:solidFill>
            <a:schemeClr val="accent6">
              <a:lumMod val="60000"/>
              <a:lumOff val="40000"/>
            </a:schemeClr>
          </a:solidFill>
          <a:ln>
            <a:noFill/>
          </a:ln>
          <a:effectLst/>
        </c:spPr>
      </c:pivotFmt>
      <c:pivotFmt>
        <c:idx val="19"/>
        <c:spPr>
          <a:solidFill>
            <a:srgbClr val="FF0000">
              <a:alpha val="50196"/>
            </a:srgbClr>
          </a:solidFill>
          <a:ln>
            <a:noFill/>
          </a:ln>
          <a:effectLst/>
        </c:spPr>
      </c:pivotFmt>
    </c:pivotFmts>
    <c:plotArea>
      <c:layout/>
      <c:doughnutChart>
        <c:varyColors val="1"/>
        <c:ser>
          <c:idx val="0"/>
          <c:order val="0"/>
          <c:tx>
            <c:strRef>
              <c:f>bike_pur_by_edu!$B$3:$B$4</c:f>
              <c:strCache>
                <c:ptCount val="1"/>
                <c:pt idx="0">
                  <c:v>Total</c:v>
                </c:pt>
              </c:strCache>
            </c:strRef>
          </c:tx>
          <c:spPr>
            <a:solidFill>
              <a:srgbClr val="4472C4">
                <a:alpha val="50196"/>
              </a:srgbClr>
            </a:solidFill>
          </c:spPr>
          <c:dPt>
            <c:idx val="0"/>
            <c:bubble3D val="0"/>
            <c:spPr>
              <a:solidFill>
                <a:schemeClr val="accent4">
                  <a:lumMod val="60000"/>
                  <a:lumOff val="40000"/>
                </a:schemeClr>
              </a:solidFill>
              <a:ln>
                <a:noFill/>
              </a:ln>
              <a:effectLst/>
            </c:spPr>
            <c:extLst>
              <c:ext xmlns:c16="http://schemas.microsoft.com/office/drawing/2014/chart" uri="{C3380CC4-5D6E-409C-BE32-E72D297353CC}">
                <c16:uniqueId val="{00000001-EB67-1D44-94BA-097C7FA33E3E}"/>
              </c:ext>
            </c:extLst>
          </c:dPt>
          <c:dPt>
            <c:idx val="1"/>
            <c:bubble3D val="0"/>
            <c:spPr>
              <a:solidFill>
                <a:schemeClr val="accent2">
                  <a:lumMod val="75000"/>
                  <a:alpha val="90000"/>
                </a:schemeClr>
              </a:solidFill>
              <a:ln>
                <a:noFill/>
              </a:ln>
              <a:effectLst/>
            </c:spPr>
            <c:extLst>
              <c:ext xmlns:c16="http://schemas.microsoft.com/office/drawing/2014/chart" uri="{C3380CC4-5D6E-409C-BE32-E72D297353CC}">
                <c16:uniqueId val="{00000003-EB67-1D44-94BA-097C7FA33E3E}"/>
              </c:ext>
            </c:extLst>
          </c:dPt>
          <c:dPt>
            <c:idx val="2"/>
            <c:bubble3D val="0"/>
            <c:spPr>
              <a:solidFill>
                <a:srgbClr val="4472C4"/>
              </a:solidFill>
              <a:ln>
                <a:noFill/>
              </a:ln>
              <a:effectLst/>
            </c:spPr>
            <c:extLst>
              <c:ext xmlns:c16="http://schemas.microsoft.com/office/drawing/2014/chart" uri="{C3380CC4-5D6E-409C-BE32-E72D297353CC}">
                <c16:uniqueId val="{00000005-EB67-1D44-94BA-097C7FA33E3E}"/>
              </c:ext>
            </c:extLst>
          </c:dPt>
          <c:dPt>
            <c:idx val="3"/>
            <c:bubble3D val="0"/>
            <c:spPr>
              <a:solidFill>
                <a:schemeClr val="accent6">
                  <a:lumMod val="60000"/>
                  <a:lumOff val="40000"/>
                </a:schemeClr>
              </a:solidFill>
              <a:ln>
                <a:noFill/>
              </a:ln>
              <a:effectLst/>
            </c:spPr>
            <c:extLst>
              <c:ext xmlns:c16="http://schemas.microsoft.com/office/drawing/2014/chart" uri="{C3380CC4-5D6E-409C-BE32-E72D297353CC}">
                <c16:uniqueId val="{00000007-EB67-1D44-94BA-097C7FA33E3E}"/>
              </c:ext>
            </c:extLst>
          </c:dPt>
          <c:dPt>
            <c:idx val="4"/>
            <c:bubble3D val="0"/>
            <c:spPr>
              <a:solidFill>
                <a:srgbClr val="FF0000">
                  <a:alpha val="50196"/>
                </a:srgbClr>
              </a:solidFill>
              <a:ln>
                <a:noFill/>
              </a:ln>
              <a:effectLst/>
            </c:spPr>
            <c:extLst>
              <c:ext xmlns:c16="http://schemas.microsoft.com/office/drawing/2014/chart" uri="{C3380CC4-5D6E-409C-BE32-E72D297353CC}">
                <c16:uniqueId val="{00000009-EB67-1D44-94BA-097C7FA33E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bike_pur_by_edu!$A$5:$A$10</c:f>
              <c:strCache>
                <c:ptCount val="5"/>
                <c:pt idx="0">
                  <c:v>Bachelors</c:v>
                </c:pt>
                <c:pt idx="1">
                  <c:v>Graduate Degree</c:v>
                </c:pt>
                <c:pt idx="2">
                  <c:v>High School</c:v>
                </c:pt>
                <c:pt idx="3">
                  <c:v>Partial College</c:v>
                </c:pt>
                <c:pt idx="4">
                  <c:v>Partial High School</c:v>
                </c:pt>
              </c:strCache>
            </c:strRef>
          </c:cat>
          <c:val>
            <c:numRef>
              <c:f>bike_pur_by_edu!$B$5:$B$10</c:f>
              <c:numCache>
                <c:formatCode>0%</c:formatCode>
                <c:ptCount val="5"/>
                <c:pt idx="0">
                  <c:v>0.30311890838206629</c:v>
                </c:pt>
                <c:pt idx="1">
                  <c:v>0.1705653021442495</c:v>
                </c:pt>
                <c:pt idx="2">
                  <c:v>0.17933723196881091</c:v>
                </c:pt>
                <c:pt idx="3">
                  <c:v>0.27095516569200778</c:v>
                </c:pt>
                <c:pt idx="4">
                  <c:v>7.6023391812865493E-2</c:v>
                </c:pt>
              </c:numCache>
            </c:numRef>
          </c:val>
          <c:extLst>
            <c:ext xmlns:c16="http://schemas.microsoft.com/office/drawing/2014/chart" uri="{C3380CC4-5D6E-409C-BE32-E72D297353CC}">
              <c16:uniqueId val="{0000000A-EB67-1D44-94BA-097C7FA33E3E}"/>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solved.xlsx]occ_wise_total_income!occ_wise_total_income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Occupation</a:t>
            </a:r>
            <a:r>
              <a:rPr lang="en-GB" b="1" baseline="0"/>
              <a:t> wise Count of Bike Purchase </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4">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occ_wise_total_income!$B$3:$B$4</c:f>
              <c:strCache>
                <c:ptCount val="1"/>
                <c:pt idx="0">
                  <c:v>Total</c:v>
                </c:pt>
              </c:strCache>
            </c:strRef>
          </c:tx>
          <c:spPr>
            <a:solidFill>
              <a:srgbClr val="7030A0"/>
            </a:solidFill>
            <a:ln>
              <a:noFill/>
            </a:ln>
            <a:effectLst/>
            <a:sp3d/>
          </c:spPr>
          <c:invertIfNegative val="0"/>
          <c:cat>
            <c:strRef>
              <c:f>occ_wise_total_income!$A$5:$A$10</c:f>
              <c:strCache>
                <c:ptCount val="5"/>
                <c:pt idx="0">
                  <c:v>Clerical</c:v>
                </c:pt>
                <c:pt idx="1">
                  <c:v>Management</c:v>
                </c:pt>
                <c:pt idx="2">
                  <c:v>Manual</c:v>
                </c:pt>
                <c:pt idx="3">
                  <c:v>Professional</c:v>
                </c:pt>
                <c:pt idx="4">
                  <c:v>Skilled Manual</c:v>
                </c:pt>
              </c:strCache>
            </c:strRef>
          </c:cat>
          <c:val>
            <c:numRef>
              <c:f>occ_wise_total_income!$B$5:$B$10</c:f>
              <c:numCache>
                <c:formatCode>General</c:formatCode>
                <c:ptCount val="5"/>
                <c:pt idx="0">
                  <c:v>187</c:v>
                </c:pt>
                <c:pt idx="1">
                  <c:v>174</c:v>
                </c:pt>
                <c:pt idx="2">
                  <c:v>126</c:v>
                </c:pt>
                <c:pt idx="3">
                  <c:v>280</c:v>
                </c:pt>
                <c:pt idx="4">
                  <c:v>259</c:v>
                </c:pt>
              </c:numCache>
            </c:numRef>
          </c:val>
          <c:extLst>
            <c:ext xmlns:c16="http://schemas.microsoft.com/office/drawing/2014/chart" uri="{C3380CC4-5D6E-409C-BE32-E72D297353CC}">
              <c16:uniqueId val="{00000000-E722-5B4C-8079-8D133B039576}"/>
            </c:ext>
          </c:extLst>
        </c:ser>
        <c:dLbls>
          <c:showLegendKey val="0"/>
          <c:showVal val="0"/>
          <c:showCatName val="0"/>
          <c:showSerName val="0"/>
          <c:showPercent val="0"/>
          <c:showBubbleSize val="0"/>
        </c:dLbls>
        <c:gapWidth val="219"/>
        <c:shape val="box"/>
        <c:axId val="554102560"/>
        <c:axId val="1351021440"/>
        <c:axId val="0"/>
      </c:bar3DChart>
      <c:catAx>
        <c:axId val="55410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021440"/>
        <c:crosses val="autoZero"/>
        <c:auto val="1"/>
        <c:lblAlgn val="ctr"/>
        <c:lblOffset val="100"/>
        <c:noMultiLvlLbl val="0"/>
      </c:catAx>
      <c:valAx>
        <c:axId val="1351021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102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solved.xlsx]rgn_wise_avg_age_of_marital_sts!rgn_wise_avg_Ageof_marital_status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Region</a:t>
            </a:r>
            <a:r>
              <a:rPr lang="en-GB" b="1" baseline="0"/>
              <a:t> wise Count of Bike Purchase</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pivotFmt>
      <c:pivotFmt>
        <c:idx val="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0000">
              <a:alpha val="62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rgn_wise_avg_age_of_marital_sts!$B$3:$B$4</c:f>
              <c:strCache>
                <c:ptCount val="1"/>
                <c:pt idx="0">
                  <c:v>Total</c:v>
                </c:pt>
              </c:strCache>
            </c:strRef>
          </c:tx>
          <c:spPr>
            <a:solidFill>
              <a:srgbClr val="FF0000">
                <a:alpha val="62000"/>
              </a:srgbClr>
            </a:solidFill>
            <a:ln>
              <a:noFill/>
            </a:ln>
            <a:effectLst/>
          </c:spPr>
          <c:invertIfNegative val="0"/>
          <c:cat>
            <c:strRef>
              <c:f>rgn_wise_avg_age_of_marital_sts!$A$5:$A$8</c:f>
              <c:strCache>
                <c:ptCount val="3"/>
                <c:pt idx="0">
                  <c:v>Europe</c:v>
                </c:pt>
                <c:pt idx="1">
                  <c:v>North America</c:v>
                </c:pt>
                <c:pt idx="2">
                  <c:v>Pacific</c:v>
                </c:pt>
              </c:strCache>
            </c:strRef>
          </c:cat>
          <c:val>
            <c:numRef>
              <c:f>rgn_wise_avg_age_of_marital_sts!$B$5:$B$8</c:f>
              <c:numCache>
                <c:formatCode>0</c:formatCode>
                <c:ptCount val="3"/>
                <c:pt idx="0">
                  <c:v>316</c:v>
                </c:pt>
                <c:pt idx="1">
                  <c:v>508</c:v>
                </c:pt>
                <c:pt idx="2">
                  <c:v>202</c:v>
                </c:pt>
              </c:numCache>
            </c:numRef>
          </c:val>
          <c:extLst>
            <c:ext xmlns:c16="http://schemas.microsoft.com/office/drawing/2014/chart" uri="{C3380CC4-5D6E-409C-BE32-E72D297353CC}">
              <c16:uniqueId val="{00000000-8F0E-9E4B-A600-F0EE24D92E13}"/>
            </c:ext>
          </c:extLst>
        </c:ser>
        <c:dLbls>
          <c:showLegendKey val="0"/>
          <c:showVal val="0"/>
          <c:showCatName val="0"/>
          <c:showSerName val="0"/>
          <c:showPercent val="0"/>
          <c:showBubbleSize val="0"/>
        </c:dLbls>
        <c:gapWidth val="219"/>
        <c:overlap val="-27"/>
        <c:axId val="1976058480"/>
        <c:axId val="1976130256"/>
      </c:barChart>
      <c:catAx>
        <c:axId val="197605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130256"/>
        <c:crosses val="autoZero"/>
        <c:auto val="1"/>
        <c:lblAlgn val="ctr"/>
        <c:lblOffset val="100"/>
        <c:noMultiLvlLbl val="0"/>
      </c:catAx>
      <c:valAx>
        <c:axId val="19761302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05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solved.xlsx]region_wise_avg_income_by_gen!regionwiseavgincomeofm_f</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Total Income &amp; Marital Status wise Bike purchase</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region_wise_avg_income_by_gen!$B$3:$B$4</c:f>
              <c:strCache>
                <c:ptCount val="1"/>
                <c:pt idx="0">
                  <c:v>No</c:v>
                </c:pt>
              </c:strCache>
            </c:strRef>
          </c:tx>
          <c:spPr>
            <a:solidFill>
              <a:schemeClr val="accent2"/>
            </a:solidFill>
            <a:ln>
              <a:noFill/>
            </a:ln>
            <a:effectLst/>
          </c:spPr>
          <c:invertIfNegative val="0"/>
          <c:cat>
            <c:strRef>
              <c:f>region_wise_avg_income_by_gen!$A$5:$A$7</c:f>
              <c:strCache>
                <c:ptCount val="2"/>
                <c:pt idx="0">
                  <c:v>M</c:v>
                </c:pt>
                <c:pt idx="1">
                  <c:v>S</c:v>
                </c:pt>
              </c:strCache>
            </c:strRef>
          </c:cat>
          <c:val>
            <c:numRef>
              <c:f>region_wise_avg_income_by_gen!$B$5:$B$7</c:f>
              <c:numCache>
                <c:formatCode>"$"#,##0.00</c:formatCode>
                <c:ptCount val="2"/>
                <c:pt idx="0">
                  <c:v>18030000</c:v>
                </c:pt>
                <c:pt idx="1">
                  <c:v>11190000</c:v>
                </c:pt>
              </c:numCache>
            </c:numRef>
          </c:val>
          <c:extLst>
            <c:ext xmlns:c16="http://schemas.microsoft.com/office/drawing/2014/chart" uri="{C3380CC4-5D6E-409C-BE32-E72D297353CC}">
              <c16:uniqueId val="{00000000-EE2E-5443-A279-3C1EC8BF4882}"/>
            </c:ext>
          </c:extLst>
        </c:ser>
        <c:ser>
          <c:idx val="1"/>
          <c:order val="1"/>
          <c:tx>
            <c:strRef>
              <c:f>region_wise_avg_income_by_gen!$C$3:$C$4</c:f>
              <c:strCache>
                <c:ptCount val="1"/>
                <c:pt idx="0">
                  <c:v>Yes</c:v>
                </c:pt>
              </c:strCache>
            </c:strRef>
          </c:tx>
          <c:spPr>
            <a:solidFill>
              <a:schemeClr val="accent4"/>
            </a:solidFill>
            <a:ln>
              <a:noFill/>
            </a:ln>
            <a:effectLst/>
          </c:spPr>
          <c:invertIfNegative val="0"/>
          <c:cat>
            <c:strRef>
              <c:f>region_wise_avg_income_by_gen!$A$5:$A$7</c:f>
              <c:strCache>
                <c:ptCount val="2"/>
                <c:pt idx="0">
                  <c:v>M</c:v>
                </c:pt>
                <c:pt idx="1">
                  <c:v>S</c:v>
                </c:pt>
              </c:strCache>
            </c:strRef>
          </c:cat>
          <c:val>
            <c:numRef>
              <c:f>region_wise_avg_income_by_gen!$C$5:$C$7</c:f>
              <c:numCache>
                <c:formatCode>"$"#,##0.00</c:formatCode>
                <c:ptCount val="2"/>
                <c:pt idx="0">
                  <c:v>14180000</c:v>
                </c:pt>
                <c:pt idx="1">
                  <c:v>14270000</c:v>
                </c:pt>
              </c:numCache>
            </c:numRef>
          </c:val>
          <c:extLst>
            <c:ext xmlns:c16="http://schemas.microsoft.com/office/drawing/2014/chart" uri="{C3380CC4-5D6E-409C-BE32-E72D297353CC}">
              <c16:uniqueId val="{00000001-8A13-664C-A748-EBF4C5A8A629}"/>
            </c:ext>
          </c:extLst>
        </c:ser>
        <c:dLbls>
          <c:showLegendKey val="0"/>
          <c:showVal val="0"/>
          <c:showCatName val="0"/>
          <c:showSerName val="0"/>
          <c:showPercent val="0"/>
          <c:showBubbleSize val="0"/>
        </c:dLbls>
        <c:gapWidth val="219"/>
        <c:overlap val="100"/>
        <c:axId val="1501489920"/>
        <c:axId val="1329204080"/>
      </c:barChart>
      <c:catAx>
        <c:axId val="150148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204080"/>
        <c:crosses val="autoZero"/>
        <c:auto val="1"/>
        <c:lblAlgn val="ctr"/>
        <c:lblOffset val="100"/>
        <c:noMultiLvlLbl val="0"/>
      </c:catAx>
      <c:valAx>
        <c:axId val="1329204080"/>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489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solved.xlsx]age_group_wise_bike_Pur!age_grp_wise_bike_pur</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Bike Purchase Count by Age Group</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solidFill>
          <a:ln>
            <a:noFill/>
          </a:ln>
          <a:effectLst/>
        </c:spPr>
      </c:pivotFmt>
      <c:pivotFmt>
        <c:idx val="4"/>
        <c:spPr>
          <a:solidFill>
            <a:schemeClr val="accent1">
              <a:lumMod val="60000"/>
              <a:lumOff val="40000"/>
            </a:schemeClr>
          </a:solidFill>
          <a:ln>
            <a:noFill/>
          </a:ln>
          <a:effectLst/>
        </c:spPr>
      </c:pivotFmt>
      <c:pivotFmt>
        <c:idx val="5"/>
        <c:spPr>
          <a:solidFill>
            <a:schemeClr val="accent1">
              <a:lumMod val="20000"/>
              <a:lumOff val="80000"/>
            </a:schemeClr>
          </a:solidFill>
          <a:ln>
            <a:noFill/>
          </a:ln>
          <a:effectLst/>
        </c:spPr>
      </c:pivotFmt>
      <c:pivotFmt>
        <c:idx val="6"/>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50000"/>
            </a:schemeClr>
          </a:solidFill>
          <a:ln>
            <a:noFill/>
          </a:ln>
          <a:effectLst/>
        </c:spPr>
      </c:pivotFmt>
      <c:pivotFmt>
        <c:idx val="8"/>
        <c:spPr>
          <a:solidFill>
            <a:schemeClr val="accent1">
              <a:lumMod val="75000"/>
            </a:schemeClr>
          </a:solidFill>
          <a:ln>
            <a:noFill/>
          </a:ln>
          <a:effectLst/>
        </c:spPr>
      </c:pivotFmt>
      <c:pivotFmt>
        <c:idx val="9"/>
        <c:spPr>
          <a:solidFill>
            <a:schemeClr val="accent1"/>
          </a:solidFill>
          <a:ln>
            <a:noFill/>
          </a:ln>
          <a:effectLst/>
        </c:spPr>
      </c:pivotFmt>
      <c:pivotFmt>
        <c:idx val="10"/>
        <c:spPr>
          <a:solidFill>
            <a:schemeClr val="accent1">
              <a:lumMod val="60000"/>
              <a:lumOff val="40000"/>
            </a:schemeClr>
          </a:solidFill>
          <a:ln>
            <a:noFill/>
          </a:ln>
          <a:effectLst/>
        </c:spPr>
      </c:pivotFmt>
      <c:pivotFmt>
        <c:idx val="11"/>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50000"/>
            </a:schemeClr>
          </a:solidFill>
          <a:ln>
            <a:noFill/>
          </a:ln>
          <a:effectLst/>
        </c:spPr>
      </c:pivotFmt>
      <c:pivotFmt>
        <c:idx val="13"/>
        <c:spPr>
          <a:solidFill>
            <a:schemeClr val="accent1">
              <a:lumMod val="75000"/>
            </a:schemeClr>
          </a:solidFill>
          <a:ln>
            <a:noFill/>
          </a:ln>
          <a:effectLst/>
        </c:spPr>
      </c:pivotFmt>
      <c:pivotFmt>
        <c:idx val="14"/>
        <c:spPr>
          <a:solidFill>
            <a:schemeClr val="accent1"/>
          </a:solidFill>
          <a:ln>
            <a:noFill/>
          </a:ln>
          <a:effectLst/>
        </c:spPr>
      </c:pivotFmt>
      <c:pivotFmt>
        <c:idx val="15"/>
        <c:spPr>
          <a:solidFill>
            <a:schemeClr val="accent1">
              <a:lumMod val="60000"/>
              <a:lumOff val="40000"/>
            </a:schemeClr>
          </a:solidFill>
          <a:ln>
            <a:noFill/>
          </a:ln>
          <a:effectLst/>
        </c:spPr>
      </c:pivotFmt>
    </c:pivotFmts>
    <c:plotArea>
      <c:layout/>
      <c:barChart>
        <c:barDir val="col"/>
        <c:grouping val="clustered"/>
        <c:varyColors val="0"/>
        <c:ser>
          <c:idx val="0"/>
          <c:order val="0"/>
          <c:tx>
            <c:strRef>
              <c:f>age_group_wise_bike_Pur!$B$3:$B$4</c:f>
              <c:strCache>
                <c:ptCount val="1"/>
                <c:pt idx="0">
                  <c:v>Total</c:v>
                </c:pt>
              </c:strCache>
            </c:strRef>
          </c:tx>
          <c:spPr>
            <a:solidFill>
              <a:schemeClr val="accent1">
                <a:lumMod val="20000"/>
                <a:lumOff val="80000"/>
              </a:schemeClr>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1-9322-5C4F-9E89-CAA8291BB174}"/>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9322-5C4F-9E89-CAA8291BB174}"/>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9322-5C4F-9E89-CAA8291BB174}"/>
              </c:ext>
            </c:extLst>
          </c:dPt>
          <c:dPt>
            <c:idx val="3"/>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7-9322-5C4F-9E89-CAA8291BB1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age_group_wise_bike_Pur!$A$5:$A$12</c:f>
              <c:strCache>
                <c:ptCount val="7"/>
                <c:pt idx="0">
                  <c:v>25-34</c:v>
                </c:pt>
                <c:pt idx="1">
                  <c:v>35-44</c:v>
                </c:pt>
                <c:pt idx="2">
                  <c:v>45-54</c:v>
                </c:pt>
                <c:pt idx="3">
                  <c:v>55-64</c:v>
                </c:pt>
                <c:pt idx="4">
                  <c:v>65-74</c:v>
                </c:pt>
                <c:pt idx="5">
                  <c:v>75-84</c:v>
                </c:pt>
                <c:pt idx="6">
                  <c:v>85-94</c:v>
                </c:pt>
              </c:strCache>
            </c:strRef>
          </c:cat>
          <c:val>
            <c:numRef>
              <c:f>age_group_wise_bike_Pur!$B$5:$B$12</c:f>
              <c:numCache>
                <c:formatCode>General</c:formatCode>
                <c:ptCount val="7"/>
                <c:pt idx="0">
                  <c:v>225</c:v>
                </c:pt>
                <c:pt idx="1">
                  <c:v>341</c:v>
                </c:pt>
                <c:pt idx="2">
                  <c:v>265</c:v>
                </c:pt>
                <c:pt idx="3">
                  <c:v>136</c:v>
                </c:pt>
                <c:pt idx="4">
                  <c:v>55</c:v>
                </c:pt>
                <c:pt idx="5">
                  <c:v>3</c:v>
                </c:pt>
                <c:pt idx="6">
                  <c:v>1</c:v>
                </c:pt>
              </c:numCache>
            </c:numRef>
          </c:val>
          <c:extLst>
            <c:ext xmlns:c16="http://schemas.microsoft.com/office/drawing/2014/chart" uri="{C3380CC4-5D6E-409C-BE32-E72D297353CC}">
              <c16:uniqueId val="{00000008-9322-5C4F-9E89-CAA8291BB174}"/>
            </c:ext>
          </c:extLst>
        </c:ser>
        <c:dLbls>
          <c:showLegendKey val="0"/>
          <c:showVal val="0"/>
          <c:showCatName val="0"/>
          <c:showSerName val="0"/>
          <c:showPercent val="0"/>
          <c:showBubbleSize val="0"/>
        </c:dLbls>
        <c:gapWidth val="219"/>
        <c:axId val="1500879168"/>
        <c:axId val="1500908768"/>
      </c:barChart>
      <c:catAx>
        <c:axId val="150087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908768"/>
        <c:crosses val="autoZero"/>
        <c:auto val="1"/>
        <c:lblAlgn val="ctr"/>
        <c:lblOffset val="100"/>
        <c:noMultiLvlLbl val="0"/>
      </c:catAx>
      <c:valAx>
        <c:axId val="1500908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87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729107</xdr:colOff>
      <xdr:row>8</xdr:row>
      <xdr:rowOff>190775</xdr:rowOff>
    </xdr:from>
    <xdr:to>
      <xdr:col>10</xdr:col>
      <xdr:colOff>822301</xdr:colOff>
      <xdr:row>25</xdr:row>
      <xdr:rowOff>63956</xdr:rowOff>
    </xdr:to>
    <xdr:graphicFrame macro="">
      <xdr:nvGraphicFramePr>
        <xdr:cNvPr id="2" name="Chart 1">
          <a:extLst>
            <a:ext uri="{FF2B5EF4-FFF2-40B4-BE49-F238E27FC236}">
              <a16:creationId xmlns:a16="http://schemas.microsoft.com/office/drawing/2014/main" id="{720C8DD6-36D9-E955-45D5-351BAF5E47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811085</xdr:colOff>
      <xdr:row>4</xdr:row>
      <xdr:rowOff>182787</xdr:rowOff>
    </xdr:from>
    <xdr:to>
      <xdr:col>8</xdr:col>
      <xdr:colOff>427748</xdr:colOff>
      <xdr:row>19</xdr:row>
      <xdr:rowOff>121079</xdr:rowOff>
    </xdr:to>
    <xdr:graphicFrame macro="">
      <xdr:nvGraphicFramePr>
        <xdr:cNvPr id="2" name="Chart 1">
          <a:extLst>
            <a:ext uri="{FF2B5EF4-FFF2-40B4-BE49-F238E27FC236}">
              <a16:creationId xmlns:a16="http://schemas.microsoft.com/office/drawing/2014/main" id="{587EA4FD-BFEE-C6D9-E3A4-B0C2AD0411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757765</xdr:colOff>
      <xdr:row>14</xdr:row>
      <xdr:rowOff>101600</xdr:rowOff>
    </xdr:from>
    <xdr:to>
      <xdr:col>8</xdr:col>
      <xdr:colOff>55032</xdr:colOff>
      <xdr:row>29</xdr:row>
      <xdr:rowOff>84667</xdr:rowOff>
    </xdr:to>
    <xdr:graphicFrame macro="">
      <xdr:nvGraphicFramePr>
        <xdr:cNvPr id="2" name="Chart 1">
          <a:extLst>
            <a:ext uri="{FF2B5EF4-FFF2-40B4-BE49-F238E27FC236}">
              <a16:creationId xmlns:a16="http://schemas.microsoft.com/office/drawing/2014/main" id="{2F0BE27F-9092-1F6B-912C-10F34E3A68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185558</xdr:colOff>
      <xdr:row>14</xdr:row>
      <xdr:rowOff>136136</xdr:rowOff>
    </xdr:from>
    <xdr:to>
      <xdr:col>9</xdr:col>
      <xdr:colOff>368544</xdr:colOff>
      <xdr:row>31</xdr:row>
      <xdr:rowOff>39299</xdr:rowOff>
    </xdr:to>
    <xdr:graphicFrame macro="">
      <xdr:nvGraphicFramePr>
        <xdr:cNvPr id="3" name="Chart 2">
          <a:extLst>
            <a:ext uri="{FF2B5EF4-FFF2-40B4-BE49-F238E27FC236}">
              <a16:creationId xmlns:a16="http://schemas.microsoft.com/office/drawing/2014/main" id="{747E947D-BB2B-52A9-C2E7-CAE26BCE7A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12700</xdr:colOff>
      <xdr:row>9</xdr:row>
      <xdr:rowOff>177800</xdr:rowOff>
    </xdr:from>
    <xdr:to>
      <xdr:col>12</xdr:col>
      <xdr:colOff>292100</xdr:colOff>
      <xdr:row>29</xdr:row>
      <xdr:rowOff>177800</xdr:rowOff>
    </xdr:to>
    <xdr:graphicFrame macro="">
      <xdr:nvGraphicFramePr>
        <xdr:cNvPr id="2" name="Chart 1">
          <a:extLst>
            <a:ext uri="{FF2B5EF4-FFF2-40B4-BE49-F238E27FC236}">
              <a16:creationId xmlns:a16="http://schemas.microsoft.com/office/drawing/2014/main" id="{5343599B-E9F8-D4FC-A0EA-AF41132875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964713</xdr:colOff>
      <xdr:row>13</xdr:row>
      <xdr:rowOff>61059</xdr:rowOff>
    </xdr:from>
    <xdr:to>
      <xdr:col>11</xdr:col>
      <xdr:colOff>402982</xdr:colOff>
      <xdr:row>31</xdr:row>
      <xdr:rowOff>104532</xdr:rowOff>
    </xdr:to>
    <xdr:graphicFrame macro="">
      <xdr:nvGraphicFramePr>
        <xdr:cNvPr id="3" name="Chart 2">
          <a:extLst>
            <a:ext uri="{FF2B5EF4-FFF2-40B4-BE49-F238E27FC236}">
              <a16:creationId xmlns:a16="http://schemas.microsoft.com/office/drawing/2014/main" id="{1C2F0290-1476-2F43-B905-F22515B0E1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76199</xdr:colOff>
      <xdr:row>0</xdr:row>
      <xdr:rowOff>152400</xdr:rowOff>
    </xdr:from>
    <xdr:to>
      <xdr:col>5</xdr:col>
      <xdr:colOff>215900</xdr:colOff>
      <xdr:row>16</xdr:row>
      <xdr:rowOff>139701</xdr:rowOff>
    </xdr:to>
    <xdr:graphicFrame macro="">
      <xdr:nvGraphicFramePr>
        <xdr:cNvPr id="2" name="Chart 1">
          <a:extLst>
            <a:ext uri="{FF2B5EF4-FFF2-40B4-BE49-F238E27FC236}">
              <a16:creationId xmlns:a16="http://schemas.microsoft.com/office/drawing/2014/main" id="{E66F37C7-D10D-6D40-8A08-1E58A19256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76200</xdr:colOff>
      <xdr:row>17</xdr:row>
      <xdr:rowOff>63500</xdr:rowOff>
    </xdr:from>
    <xdr:to>
      <xdr:col>5</xdr:col>
      <xdr:colOff>203200</xdr:colOff>
      <xdr:row>36</xdr:row>
      <xdr:rowOff>127000</xdr:rowOff>
    </xdr:to>
    <xdr:graphicFrame macro="">
      <xdr:nvGraphicFramePr>
        <xdr:cNvPr id="3" name="Chart 2">
          <a:extLst>
            <a:ext uri="{FF2B5EF4-FFF2-40B4-BE49-F238E27FC236}">
              <a16:creationId xmlns:a16="http://schemas.microsoft.com/office/drawing/2014/main" id="{898A3B2C-34BC-8B40-A71E-378060FD28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317500</xdr:colOff>
      <xdr:row>2</xdr:row>
      <xdr:rowOff>177800</xdr:rowOff>
    </xdr:from>
    <xdr:to>
      <xdr:col>10</xdr:col>
      <xdr:colOff>469900</xdr:colOff>
      <xdr:row>16</xdr:row>
      <xdr:rowOff>139699</xdr:rowOff>
    </xdr:to>
    <xdr:graphicFrame macro="">
      <xdr:nvGraphicFramePr>
        <xdr:cNvPr id="4" name="Chart 3">
          <a:extLst>
            <a:ext uri="{FF2B5EF4-FFF2-40B4-BE49-F238E27FC236}">
              <a16:creationId xmlns:a16="http://schemas.microsoft.com/office/drawing/2014/main" id="{0340100C-A951-3141-A1C7-985FE4DD52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317500</xdr:colOff>
      <xdr:row>17</xdr:row>
      <xdr:rowOff>63500</xdr:rowOff>
    </xdr:from>
    <xdr:to>
      <xdr:col>10</xdr:col>
      <xdr:colOff>558800</xdr:colOff>
      <xdr:row>36</xdr:row>
      <xdr:rowOff>114300</xdr:rowOff>
    </xdr:to>
    <xdr:graphicFrame macro="">
      <xdr:nvGraphicFramePr>
        <xdr:cNvPr id="5" name="Chart 4">
          <a:extLst>
            <a:ext uri="{FF2B5EF4-FFF2-40B4-BE49-F238E27FC236}">
              <a16:creationId xmlns:a16="http://schemas.microsoft.com/office/drawing/2014/main" id="{A90AA83A-6BC0-7647-A302-314A22A41E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685800</xdr:colOff>
      <xdr:row>5</xdr:row>
      <xdr:rowOff>152400</xdr:rowOff>
    </xdr:from>
    <xdr:to>
      <xdr:col>17</xdr:col>
      <xdr:colOff>25400</xdr:colOff>
      <xdr:row>20</xdr:row>
      <xdr:rowOff>139700</xdr:rowOff>
    </xdr:to>
    <xdr:graphicFrame macro="">
      <xdr:nvGraphicFramePr>
        <xdr:cNvPr id="6" name="Chart 5">
          <a:extLst>
            <a:ext uri="{FF2B5EF4-FFF2-40B4-BE49-F238E27FC236}">
              <a16:creationId xmlns:a16="http://schemas.microsoft.com/office/drawing/2014/main" id="{6B6F7218-7B79-3A40-A39D-96A1708D93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685800</xdr:colOff>
      <xdr:row>21</xdr:row>
      <xdr:rowOff>25400</xdr:rowOff>
    </xdr:from>
    <xdr:to>
      <xdr:col>17</xdr:col>
      <xdr:colOff>25400</xdr:colOff>
      <xdr:row>36</xdr:row>
      <xdr:rowOff>88900</xdr:rowOff>
    </xdr:to>
    <xdr:graphicFrame macro="">
      <xdr:nvGraphicFramePr>
        <xdr:cNvPr id="7" name="Chart 6">
          <a:extLst>
            <a:ext uri="{FF2B5EF4-FFF2-40B4-BE49-F238E27FC236}">
              <a16:creationId xmlns:a16="http://schemas.microsoft.com/office/drawing/2014/main" id="{1BA0958B-5F22-AA47-B5DA-BC29CAEFDE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5</xdr:col>
      <xdr:colOff>292100</xdr:colOff>
      <xdr:row>0</xdr:row>
      <xdr:rowOff>76200</xdr:rowOff>
    </xdr:from>
    <xdr:ext cx="4470400" cy="431800"/>
    <xdr:sp macro="" textlink="">
      <xdr:nvSpPr>
        <xdr:cNvPr id="8" name="TextBox 7">
          <a:extLst>
            <a:ext uri="{FF2B5EF4-FFF2-40B4-BE49-F238E27FC236}">
              <a16:creationId xmlns:a16="http://schemas.microsoft.com/office/drawing/2014/main" id="{2B3FD4A2-5A97-C175-BAD0-D1C1875965E0}"/>
            </a:ext>
          </a:extLst>
        </xdr:cNvPr>
        <xdr:cNvSpPr txBox="1"/>
      </xdr:nvSpPr>
      <xdr:spPr>
        <a:xfrm>
          <a:off x="4419600" y="76200"/>
          <a:ext cx="4470400" cy="431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GB" sz="2000" b="1"/>
            <a:t>CONSUMER</a:t>
          </a:r>
          <a:r>
            <a:rPr lang="en-GB" sz="2000" b="1" baseline="0"/>
            <a:t> ANALYTICS</a:t>
          </a:r>
          <a:endParaRPr lang="en-GB" sz="2000" b="1"/>
        </a:p>
      </xdr:txBody>
    </xdr:sp>
    <xdr:clientData/>
  </xdr:oneCellAnchor>
  <xdr:twoCellAnchor editAs="oneCell">
    <xdr:from>
      <xdr:col>10</xdr:col>
      <xdr:colOff>685800</xdr:colOff>
      <xdr:row>0</xdr:row>
      <xdr:rowOff>76200</xdr:rowOff>
    </xdr:from>
    <xdr:to>
      <xdr:col>13</xdr:col>
      <xdr:colOff>609600</xdr:colOff>
      <xdr:row>5</xdr:row>
      <xdr:rowOff>63500</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0FA3E1DF-7D13-EA27-FF28-FAF4EE20450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40800" y="76200"/>
              <a:ext cx="2400300" cy="939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762000</xdr:colOff>
      <xdr:row>0</xdr:row>
      <xdr:rowOff>63500</xdr:rowOff>
    </xdr:from>
    <xdr:to>
      <xdr:col>16</xdr:col>
      <xdr:colOff>787400</xdr:colOff>
      <xdr:row>5</xdr:row>
      <xdr:rowOff>50800</xdr:rowOff>
    </xdr:to>
    <mc:AlternateContent xmlns:mc="http://schemas.openxmlformats.org/markup-compatibility/2006" xmlns:a14="http://schemas.microsoft.com/office/drawing/2010/main">
      <mc:Choice Requires="a14">
        <xdr:graphicFrame macro="">
          <xdr:nvGraphicFramePr>
            <xdr:cNvPr id="16" name="Age">
              <a:extLst>
                <a:ext uri="{FF2B5EF4-FFF2-40B4-BE49-F238E27FC236}">
                  <a16:creationId xmlns:a16="http://schemas.microsoft.com/office/drawing/2014/main" id="{261B2D3F-C234-E30F-ECC9-36779AF341D6}"/>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1493500" y="63500"/>
              <a:ext cx="2501900" cy="939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28.82833877315" createdVersion="8" refreshedVersion="8" minRefreshableVersion="3" recordCount="1026" xr:uid="{10F03738-22E3-274B-9E05-712D3D05FC9C}">
  <cacheSource type="worksheet">
    <worksheetSource name="Table1"/>
  </cacheSource>
  <cacheFields count="13">
    <cacheField name="ID" numFmtId="0">
      <sharedItems containsSemiMixedTypes="0" containsString="0" containsNumber="1" containsInteger="1" minValue="11000" maxValue="29447"/>
    </cacheField>
    <cacheField name="Marital Status" numFmtId="0">
      <sharedItems count="2">
        <s v="M"/>
        <s v="S"/>
      </sharedItems>
    </cacheField>
    <cacheField name="Gender" numFmtId="0">
      <sharedItems count="2">
        <s v="F"/>
        <s v="M"/>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fieldGroup base="11">
        <rangePr startNum="25" endNum="89" groupInterval="10"/>
        <groupItems count="9">
          <s v="&lt;25"/>
          <s v="25-34"/>
          <s v="35-44"/>
          <s v="45-54"/>
          <s v="55-64"/>
          <s v="65-74"/>
          <s v="75-84"/>
          <s v="85-94"/>
          <s v="&gt;95"/>
        </groupItems>
      </fieldGroup>
    </cacheField>
    <cacheField name="Purchased Bike" numFmtId="0">
      <sharedItems count="2">
        <s v="No"/>
        <s v="Yes"/>
      </sharedItems>
    </cacheField>
  </cacheFields>
  <extLst>
    <ext xmlns:x14="http://schemas.microsoft.com/office/spreadsheetml/2009/9/main" uri="{725AE2AE-9491-48be-B2B4-4EB974FC3084}">
      <x14:pivotCacheDefinition pivotCacheId="8550653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x v="0"/>
    <x v="0"/>
    <x v="0"/>
    <s v="Yes"/>
    <n v="0"/>
    <x v="0"/>
    <x v="0"/>
    <x v="0"/>
    <x v="0"/>
  </r>
  <r>
    <n v="24107"/>
    <x v="0"/>
    <x v="1"/>
    <n v="30000"/>
    <x v="1"/>
    <x v="1"/>
    <x v="1"/>
    <s v="Yes"/>
    <n v="1"/>
    <x v="0"/>
    <x v="0"/>
    <x v="1"/>
    <x v="0"/>
  </r>
  <r>
    <n v="14177"/>
    <x v="0"/>
    <x v="1"/>
    <n v="80000"/>
    <x v="2"/>
    <x v="1"/>
    <x v="2"/>
    <s v="No"/>
    <n v="2"/>
    <x v="1"/>
    <x v="0"/>
    <x v="2"/>
    <x v="0"/>
  </r>
  <r>
    <n v="24381"/>
    <x v="1"/>
    <x v="1"/>
    <n v="70000"/>
    <x v="3"/>
    <x v="0"/>
    <x v="2"/>
    <s v="Yes"/>
    <n v="1"/>
    <x v="2"/>
    <x v="1"/>
    <x v="3"/>
    <x v="1"/>
  </r>
  <r>
    <n v="25597"/>
    <x v="1"/>
    <x v="1"/>
    <n v="30000"/>
    <x v="3"/>
    <x v="0"/>
    <x v="1"/>
    <s v="No"/>
    <n v="0"/>
    <x v="0"/>
    <x v="0"/>
    <x v="4"/>
    <x v="1"/>
  </r>
  <r>
    <n v="13507"/>
    <x v="0"/>
    <x v="0"/>
    <n v="10000"/>
    <x v="4"/>
    <x v="1"/>
    <x v="3"/>
    <s v="Yes"/>
    <n v="0"/>
    <x v="3"/>
    <x v="0"/>
    <x v="5"/>
    <x v="0"/>
  </r>
  <r>
    <n v="27974"/>
    <x v="1"/>
    <x v="1"/>
    <n v="160000"/>
    <x v="4"/>
    <x v="2"/>
    <x v="4"/>
    <s v="Yes"/>
    <n v="4"/>
    <x v="0"/>
    <x v="1"/>
    <x v="6"/>
    <x v="1"/>
  </r>
  <r>
    <n v="19364"/>
    <x v="0"/>
    <x v="1"/>
    <n v="40000"/>
    <x v="0"/>
    <x v="0"/>
    <x v="0"/>
    <s v="Yes"/>
    <n v="0"/>
    <x v="0"/>
    <x v="0"/>
    <x v="1"/>
    <x v="1"/>
  </r>
  <r>
    <n v="22155"/>
    <x v="0"/>
    <x v="1"/>
    <n v="20000"/>
    <x v="4"/>
    <x v="3"/>
    <x v="1"/>
    <s v="Yes"/>
    <n v="2"/>
    <x v="2"/>
    <x v="1"/>
    <x v="7"/>
    <x v="0"/>
  </r>
  <r>
    <n v="19280"/>
    <x v="0"/>
    <x v="1"/>
    <n v="120000"/>
    <x v="4"/>
    <x v="1"/>
    <x v="3"/>
    <s v="Yes"/>
    <n v="1"/>
    <x v="0"/>
    <x v="0"/>
    <x v="8"/>
    <x v="1"/>
  </r>
  <r>
    <n v="22173"/>
    <x v="0"/>
    <x v="0"/>
    <n v="30000"/>
    <x v="1"/>
    <x v="2"/>
    <x v="0"/>
    <s v="No"/>
    <n v="2"/>
    <x v="3"/>
    <x v="1"/>
    <x v="9"/>
    <x v="1"/>
  </r>
  <r>
    <n v="12697"/>
    <x v="1"/>
    <x v="0"/>
    <n v="90000"/>
    <x v="3"/>
    <x v="0"/>
    <x v="2"/>
    <s v="No"/>
    <n v="4"/>
    <x v="4"/>
    <x v="1"/>
    <x v="4"/>
    <x v="0"/>
  </r>
  <r>
    <n v="11434"/>
    <x v="0"/>
    <x v="1"/>
    <n v="170000"/>
    <x v="2"/>
    <x v="1"/>
    <x v="2"/>
    <s v="Yes"/>
    <n v="0"/>
    <x v="0"/>
    <x v="0"/>
    <x v="10"/>
    <x v="0"/>
  </r>
  <r>
    <n v="25323"/>
    <x v="0"/>
    <x v="1"/>
    <n v="40000"/>
    <x v="4"/>
    <x v="1"/>
    <x v="1"/>
    <s v="Yes"/>
    <n v="1"/>
    <x v="3"/>
    <x v="0"/>
    <x v="11"/>
    <x v="1"/>
  </r>
  <r>
    <n v="23542"/>
    <x v="1"/>
    <x v="1"/>
    <n v="60000"/>
    <x v="0"/>
    <x v="1"/>
    <x v="0"/>
    <s v="No"/>
    <n v="1"/>
    <x v="0"/>
    <x v="1"/>
    <x v="12"/>
    <x v="1"/>
  </r>
  <r>
    <n v="20870"/>
    <x v="1"/>
    <x v="0"/>
    <n v="10000"/>
    <x v="4"/>
    <x v="2"/>
    <x v="3"/>
    <s v="Yes"/>
    <n v="1"/>
    <x v="0"/>
    <x v="0"/>
    <x v="13"/>
    <x v="1"/>
  </r>
  <r>
    <n v="23316"/>
    <x v="1"/>
    <x v="1"/>
    <n v="30000"/>
    <x v="1"/>
    <x v="1"/>
    <x v="1"/>
    <s v="No"/>
    <n v="2"/>
    <x v="3"/>
    <x v="1"/>
    <x v="14"/>
    <x v="1"/>
  </r>
  <r>
    <n v="12610"/>
    <x v="0"/>
    <x v="0"/>
    <n v="30000"/>
    <x v="0"/>
    <x v="0"/>
    <x v="1"/>
    <s v="Yes"/>
    <n v="0"/>
    <x v="0"/>
    <x v="0"/>
    <x v="15"/>
    <x v="0"/>
  </r>
  <r>
    <n v="27183"/>
    <x v="1"/>
    <x v="1"/>
    <n v="40000"/>
    <x v="4"/>
    <x v="1"/>
    <x v="1"/>
    <s v="Yes"/>
    <n v="1"/>
    <x v="3"/>
    <x v="0"/>
    <x v="11"/>
    <x v="1"/>
  </r>
  <r>
    <n v="25940"/>
    <x v="1"/>
    <x v="1"/>
    <n v="20000"/>
    <x v="4"/>
    <x v="3"/>
    <x v="1"/>
    <s v="Yes"/>
    <n v="2"/>
    <x v="2"/>
    <x v="1"/>
    <x v="10"/>
    <x v="1"/>
  </r>
  <r>
    <n v="25598"/>
    <x v="0"/>
    <x v="0"/>
    <n v="40000"/>
    <x v="3"/>
    <x v="4"/>
    <x v="1"/>
    <s v="Yes"/>
    <n v="0"/>
    <x v="0"/>
    <x v="0"/>
    <x v="4"/>
    <x v="1"/>
  </r>
  <r>
    <n v="21564"/>
    <x v="1"/>
    <x v="0"/>
    <n v="80000"/>
    <x v="3"/>
    <x v="0"/>
    <x v="2"/>
    <s v="Yes"/>
    <n v="4"/>
    <x v="4"/>
    <x v="1"/>
    <x v="11"/>
    <x v="0"/>
  </r>
  <r>
    <n v="19193"/>
    <x v="1"/>
    <x v="1"/>
    <n v="40000"/>
    <x v="4"/>
    <x v="1"/>
    <x v="1"/>
    <s v="Yes"/>
    <n v="0"/>
    <x v="3"/>
    <x v="0"/>
    <x v="11"/>
    <x v="1"/>
  </r>
  <r>
    <n v="26412"/>
    <x v="0"/>
    <x v="0"/>
    <n v="80000"/>
    <x v="2"/>
    <x v="2"/>
    <x v="4"/>
    <s v="No"/>
    <n v="3"/>
    <x v="2"/>
    <x v="0"/>
    <x v="16"/>
    <x v="0"/>
  </r>
  <r>
    <n v="27184"/>
    <x v="1"/>
    <x v="1"/>
    <n v="40000"/>
    <x v="4"/>
    <x v="1"/>
    <x v="1"/>
    <s v="No"/>
    <n v="1"/>
    <x v="0"/>
    <x v="0"/>
    <x v="17"/>
    <x v="0"/>
  </r>
  <r>
    <n v="12590"/>
    <x v="1"/>
    <x v="1"/>
    <n v="30000"/>
    <x v="0"/>
    <x v="0"/>
    <x v="1"/>
    <s v="Yes"/>
    <n v="0"/>
    <x v="0"/>
    <x v="0"/>
    <x v="18"/>
    <x v="0"/>
  </r>
  <r>
    <n v="17841"/>
    <x v="1"/>
    <x v="1"/>
    <n v="30000"/>
    <x v="3"/>
    <x v="1"/>
    <x v="1"/>
    <s v="No"/>
    <n v="1"/>
    <x v="0"/>
    <x v="0"/>
    <x v="19"/>
    <x v="1"/>
  </r>
  <r>
    <n v="18283"/>
    <x v="1"/>
    <x v="0"/>
    <n v="100000"/>
    <x v="3"/>
    <x v="0"/>
    <x v="2"/>
    <s v="No"/>
    <n v="1"/>
    <x v="2"/>
    <x v="1"/>
    <x v="8"/>
    <x v="0"/>
  </r>
  <r>
    <n v="18299"/>
    <x v="0"/>
    <x v="1"/>
    <n v="70000"/>
    <x v="2"/>
    <x v="1"/>
    <x v="0"/>
    <s v="Yes"/>
    <n v="2"/>
    <x v="2"/>
    <x v="1"/>
    <x v="20"/>
    <x v="0"/>
  </r>
  <r>
    <n v="16466"/>
    <x v="1"/>
    <x v="0"/>
    <n v="20000"/>
    <x v="3"/>
    <x v="3"/>
    <x v="3"/>
    <s v="No"/>
    <n v="2"/>
    <x v="0"/>
    <x v="0"/>
    <x v="21"/>
    <x v="1"/>
  </r>
  <r>
    <n v="19273"/>
    <x v="0"/>
    <x v="0"/>
    <n v="20000"/>
    <x v="4"/>
    <x v="1"/>
    <x v="3"/>
    <s v="Yes"/>
    <n v="0"/>
    <x v="0"/>
    <x v="0"/>
    <x v="18"/>
    <x v="0"/>
  </r>
  <r>
    <n v="22400"/>
    <x v="0"/>
    <x v="1"/>
    <n v="10000"/>
    <x v="3"/>
    <x v="1"/>
    <x v="3"/>
    <s v="No"/>
    <n v="1"/>
    <x v="0"/>
    <x v="1"/>
    <x v="22"/>
    <x v="1"/>
  </r>
  <r>
    <n v="20942"/>
    <x v="1"/>
    <x v="0"/>
    <n v="20000"/>
    <x v="3"/>
    <x v="2"/>
    <x v="3"/>
    <s v="No"/>
    <n v="1"/>
    <x v="2"/>
    <x v="0"/>
    <x v="23"/>
    <x v="0"/>
  </r>
  <r>
    <n v="18484"/>
    <x v="1"/>
    <x v="1"/>
    <n v="80000"/>
    <x v="4"/>
    <x v="2"/>
    <x v="0"/>
    <s v="No"/>
    <n v="2"/>
    <x v="3"/>
    <x v="1"/>
    <x v="5"/>
    <x v="1"/>
  </r>
  <r>
    <n v="12291"/>
    <x v="1"/>
    <x v="1"/>
    <n v="90000"/>
    <x v="2"/>
    <x v="1"/>
    <x v="2"/>
    <s v="No"/>
    <n v="2"/>
    <x v="1"/>
    <x v="0"/>
    <x v="24"/>
    <x v="1"/>
  </r>
  <r>
    <n v="28380"/>
    <x v="1"/>
    <x v="0"/>
    <n v="10000"/>
    <x v="2"/>
    <x v="3"/>
    <x v="3"/>
    <s v="No"/>
    <n v="2"/>
    <x v="0"/>
    <x v="0"/>
    <x v="3"/>
    <x v="0"/>
  </r>
  <r>
    <n v="17891"/>
    <x v="0"/>
    <x v="0"/>
    <n v="10000"/>
    <x v="4"/>
    <x v="1"/>
    <x v="3"/>
    <s v="Yes"/>
    <n v="1"/>
    <x v="0"/>
    <x v="0"/>
    <x v="5"/>
    <x v="1"/>
  </r>
  <r>
    <n v="27832"/>
    <x v="1"/>
    <x v="0"/>
    <n v="30000"/>
    <x v="3"/>
    <x v="1"/>
    <x v="1"/>
    <s v="No"/>
    <n v="1"/>
    <x v="1"/>
    <x v="0"/>
    <x v="25"/>
    <x v="0"/>
  </r>
  <r>
    <n v="26863"/>
    <x v="1"/>
    <x v="1"/>
    <n v="20000"/>
    <x v="3"/>
    <x v="2"/>
    <x v="3"/>
    <s v="No"/>
    <n v="1"/>
    <x v="1"/>
    <x v="0"/>
    <x v="26"/>
    <x v="0"/>
  </r>
  <r>
    <n v="16259"/>
    <x v="1"/>
    <x v="0"/>
    <n v="10000"/>
    <x v="5"/>
    <x v="3"/>
    <x v="3"/>
    <s v="Yes"/>
    <n v="2"/>
    <x v="0"/>
    <x v="0"/>
    <x v="8"/>
    <x v="1"/>
  </r>
  <r>
    <n v="27803"/>
    <x v="1"/>
    <x v="0"/>
    <n v="30000"/>
    <x v="4"/>
    <x v="1"/>
    <x v="1"/>
    <s v="No"/>
    <n v="0"/>
    <x v="0"/>
    <x v="0"/>
    <x v="1"/>
    <x v="0"/>
  </r>
  <r>
    <n v="14347"/>
    <x v="1"/>
    <x v="0"/>
    <n v="40000"/>
    <x v="4"/>
    <x v="0"/>
    <x v="4"/>
    <s v="Yes"/>
    <n v="2"/>
    <x v="2"/>
    <x v="1"/>
    <x v="27"/>
    <x v="1"/>
  </r>
  <r>
    <n v="17703"/>
    <x v="0"/>
    <x v="0"/>
    <n v="10000"/>
    <x v="0"/>
    <x v="4"/>
    <x v="3"/>
    <s v="Yes"/>
    <n v="0"/>
    <x v="0"/>
    <x v="0"/>
    <x v="8"/>
    <x v="0"/>
  </r>
  <r>
    <n v="17185"/>
    <x v="0"/>
    <x v="0"/>
    <n v="170000"/>
    <x v="5"/>
    <x v="1"/>
    <x v="2"/>
    <s v="No"/>
    <n v="3"/>
    <x v="2"/>
    <x v="0"/>
    <x v="28"/>
    <x v="1"/>
  </r>
  <r>
    <n v="29380"/>
    <x v="0"/>
    <x v="0"/>
    <n v="20000"/>
    <x v="1"/>
    <x v="2"/>
    <x v="3"/>
    <s v="Yes"/>
    <n v="0"/>
    <x v="0"/>
    <x v="0"/>
    <x v="3"/>
    <x v="1"/>
  </r>
  <r>
    <n v="23986"/>
    <x v="0"/>
    <x v="0"/>
    <n v="20000"/>
    <x v="0"/>
    <x v="0"/>
    <x v="1"/>
    <s v="Yes"/>
    <n v="0"/>
    <x v="0"/>
    <x v="0"/>
    <x v="29"/>
    <x v="1"/>
  </r>
  <r>
    <n v="24466"/>
    <x v="0"/>
    <x v="0"/>
    <n v="60000"/>
    <x v="0"/>
    <x v="1"/>
    <x v="0"/>
    <s v="Yes"/>
    <n v="1"/>
    <x v="2"/>
    <x v="1"/>
    <x v="30"/>
    <x v="1"/>
  </r>
  <r>
    <n v="29097"/>
    <x v="1"/>
    <x v="0"/>
    <n v="40000"/>
    <x v="4"/>
    <x v="1"/>
    <x v="0"/>
    <s v="Yes"/>
    <n v="2"/>
    <x v="2"/>
    <x v="1"/>
    <x v="31"/>
    <x v="1"/>
  </r>
  <r>
    <n v="19487"/>
    <x v="0"/>
    <x v="1"/>
    <n v="30000"/>
    <x v="4"/>
    <x v="1"/>
    <x v="1"/>
    <s v="No"/>
    <n v="2"/>
    <x v="0"/>
    <x v="0"/>
    <x v="0"/>
    <x v="0"/>
  </r>
  <r>
    <n v="14939"/>
    <x v="1"/>
    <x v="1"/>
    <n v="40000"/>
    <x v="3"/>
    <x v="0"/>
    <x v="1"/>
    <s v="Yes"/>
    <n v="0"/>
    <x v="0"/>
    <x v="0"/>
    <x v="32"/>
    <x v="1"/>
  </r>
  <r>
    <n v="13826"/>
    <x v="1"/>
    <x v="0"/>
    <n v="30000"/>
    <x v="3"/>
    <x v="1"/>
    <x v="1"/>
    <s v="No"/>
    <n v="1"/>
    <x v="0"/>
    <x v="0"/>
    <x v="26"/>
    <x v="0"/>
  </r>
  <r>
    <n v="20619"/>
    <x v="1"/>
    <x v="1"/>
    <n v="80000"/>
    <x v="3"/>
    <x v="0"/>
    <x v="2"/>
    <s v="No"/>
    <n v="4"/>
    <x v="4"/>
    <x v="1"/>
    <x v="11"/>
    <x v="0"/>
  </r>
  <r>
    <n v="12558"/>
    <x v="0"/>
    <x v="0"/>
    <n v="20000"/>
    <x v="0"/>
    <x v="0"/>
    <x v="1"/>
    <s v="Yes"/>
    <n v="0"/>
    <x v="0"/>
    <x v="0"/>
    <x v="27"/>
    <x v="0"/>
  </r>
  <r>
    <n v="24871"/>
    <x v="1"/>
    <x v="0"/>
    <n v="90000"/>
    <x v="5"/>
    <x v="2"/>
    <x v="4"/>
    <s v="No"/>
    <n v="3"/>
    <x v="2"/>
    <x v="0"/>
    <x v="16"/>
    <x v="0"/>
  </r>
  <r>
    <n v="17319"/>
    <x v="1"/>
    <x v="0"/>
    <n v="70000"/>
    <x v="3"/>
    <x v="0"/>
    <x v="2"/>
    <s v="No"/>
    <n v="1"/>
    <x v="2"/>
    <x v="1"/>
    <x v="0"/>
    <x v="0"/>
  </r>
  <r>
    <n v="28906"/>
    <x v="0"/>
    <x v="1"/>
    <n v="80000"/>
    <x v="5"/>
    <x v="2"/>
    <x v="2"/>
    <s v="Yes"/>
    <n v="2"/>
    <x v="4"/>
    <x v="0"/>
    <x v="9"/>
    <x v="0"/>
  </r>
  <r>
    <n v="12808"/>
    <x v="0"/>
    <x v="1"/>
    <n v="40000"/>
    <x v="3"/>
    <x v="0"/>
    <x v="1"/>
    <s v="Yes"/>
    <n v="0"/>
    <x v="0"/>
    <x v="0"/>
    <x v="13"/>
    <x v="1"/>
  </r>
  <r>
    <n v="20567"/>
    <x v="0"/>
    <x v="1"/>
    <n v="130000"/>
    <x v="5"/>
    <x v="1"/>
    <x v="2"/>
    <s v="No"/>
    <n v="4"/>
    <x v="2"/>
    <x v="0"/>
    <x v="33"/>
    <x v="1"/>
  </r>
  <r>
    <n v="25502"/>
    <x v="0"/>
    <x v="0"/>
    <n v="40000"/>
    <x v="0"/>
    <x v="0"/>
    <x v="0"/>
    <s v="Yes"/>
    <n v="0"/>
    <x v="0"/>
    <x v="0"/>
    <x v="1"/>
    <x v="1"/>
  </r>
  <r>
    <n v="15580"/>
    <x v="0"/>
    <x v="1"/>
    <n v="60000"/>
    <x v="4"/>
    <x v="0"/>
    <x v="2"/>
    <s v="Yes"/>
    <n v="1"/>
    <x v="1"/>
    <x v="1"/>
    <x v="13"/>
    <x v="1"/>
  </r>
  <r>
    <n v="24185"/>
    <x v="1"/>
    <x v="0"/>
    <n v="10000"/>
    <x v="0"/>
    <x v="2"/>
    <x v="3"/>
    <s v="No"/>
    <n v="1"/>
    <x v="3"/>
    <x v="0"/>
    <x v="12"/>
    <x v="0"/>
  </r>
  <r>
    <n v="19291"/>
    <x v="1"/>
    <x v="0"/>
    <n v="10000"/>
    <x v="4"/>
    <x v="2"/>
    <x v="3"/>
    <s v="Yes"/>
    <n v="0"/>
    <x v="0"/>
    <x v="0"/>
    <x v="11"/>
    <x v="0"/>
  </r>
  <r>
    <n v="16713"/>
    <x v="0"/>
    <x v="1"/>
    <n v="40000"/>
    <x v="4"/>
    <x v="0"/>
    <x v="4"/>
    <s v="Yes"/>
    <n v="1"/>
    <x v="0"/>
    <x v="1"/>
    <x v="31"/>
    <x v="1"/>
  </r>
  <r>
    <n v="16185"/>
    <x v="1"/>
    <x v="1"/>
    <n v="60000"/>
    <x v="5"/>
    <x v="0"/>
    <x v="2"/>
    <s v="Yes"/>
    <n v="3"/>
    <x v="4"/>
    <x v="1"/>
    <x v="3"/>
    <x v="0"/>
  </r>
  <r>
    <n v="14927"/>
    <x v="0"/>
    <x v="0"/>
    <n v="30000"/>
    <x v="0"/>
    <x v="0"/>
    <x v="1"/>
    <s v="Yes"/>
    <n v="0"/>
    <x v="0"/>
    <x v="0"/>
    <x v="34"/>
    <x v="1"/>
  </r>
  <r>
    <n v="29337"/>
    <x v="1"/>
    <x v="1"/>
    <n v="30000"/>
    <x v="4"/>
    <x v="1"/>
    <x v="1"/>
    <s v="Yes"/>
    <n v="2"/>
    <x v="2"/>
    <x v="1"/>
    <x v="35"/>
    <x v="0"/>
  </r>
  <r>
    <n v="29355"/>
    <x v="0"/>
    <x v="0"/>
    <n v="40000"/>
    <x v="3"/>
    <x v="4"/>
    <x v="1"/>
    <s v="Yes"/>
    <n v="0"/>
    <x v="0"/>
    <x v="0"/>
    <x v="34"/>
    <x v="1"/>
  </r>
  <r>
    <n v="25303"/>
    <x v="1"/>
    <x v="1"/>
    <n v="30000"/>
    <x v="3"/>
    <x v="2"/>
    <x v="3"/>
    <s v="Yes"/>
    <n v="1"/>
    <x v="1"/>
    <x v="0"/>
    <x v="6"/>
    <x v="1"/>
  </r>
  <r>
    <n v="14813"/>
    <x v="1"/>
    <x v="0"/>
    <n v="20000"/>
    <x v="5"/>
    <x v="2"/>
    <x v="3"/>
    <s v="Yes"/>
    <n v="1"/>
    <x v="0"/>
    <x v="0"/>
    <x v="1"/>
    <x v="1"/>
  </r>
  <r>
    <n v="16438"/>
    <x v="0"/>
    <x v="0"/>
    <n v="10000"/>
    <x v="3"/>
    <x v="3"/>
    <x v="3"/>
    <s v="No"/>
    <n v="2"/>
    <x v="0"/>
    <x v="0"/>
    <x v="25"/>
    <x v="0"/>
  </r>
  <r>
    <n v="14238"/>
    <x v="0"/>
    <x v="1"/>
    <n v="120000"/>
    <x v="3"/>
    <x v="3"/>
    <x v="2"/>
    <s v="Yes"/>
    <n v="4"/>
    <x v="4"/>
    <x v="1"/>
    <x v="4"/>
    <x v="1"/>
  </r>
  <r>
    <n v="16200"/>
    <x v="1"/>
    <x v="0"/>
    <n v="10000"/>
    <x v="3"/>
    <x v="3"/>
    <x v="3"/>
    <s v="No"/>
    <n v="2"/>
    <x v="0"/>
    <x v="0"/>
    <x v="11"/>
    <x v="0"/>
  </r>
  <r>
    <n v="24857"/>
    <x v="0"/>
    <x v="0"/>
    <n v="130000"/>
    <x v="1"/>
    <x v="2"/>
    <x v="2"/>
    <s v="Yes"/>
    <n v="4"/>
    <x v="0"/>
    <x v="0"/>
    <x v="31"/>
    <x v="0"/>
  </r>
  <r>
    <n v="26956"/>
    <x v="1"/>
    <x v="0"/>
    <n v="20000"/>
    <x v="3"/>
    <x v="1"/>
    <x v="3"/>
    <s v="No"/>
    <n v="1"/>
    <x v="1"/>
    <x v="0"/>
    <x v="4"/>
    <x v="1"/>
  </r>
  <r>
    <n v="14517"/>
    <x v="0"/>
    <x v="0"/>
    <n v="20000"/>
    <x v="1"/>
    <x v="2"/>
    <x v="0"/>
    <s v="No"/>
    <n v="2"/>
    <x v="3"/>
    <x v="1"/>
    <x v="24"/>
    <x v="0"/>
  </r>
  <r>
    <n v="12678"/>
    <x v="1"/>
    <x v="0"/>
    <n v="130000"/>
    <x v="5"/>
    <x v="2"/>
    <x v="4"/>
    <s v="Yes"/>
    <n v="4"/>
    <x v="0"/>
    <x v="1"/>
    <x v="23"/>
    <x v="0"/>
  </r>
  <r>
    <n v="16188"/>
    <x v="1"/>
    <x v="0"/>
    <n v="20000"/>
    <x v="3"/>
    <x v="3"/>
    <x v="3"/>
    <s v="No"/>
    <n v="2"/>
    <x v="3"/>
    <x v="0"/>
    <x v="22"/>
    <x v="0"/>
  </r>
  <r>
    <n v="27969"/>
    <x v="0"/>
    <x v="1"/>
    <n v="80000"/>
    <x v="3"/>
    <x v="0"/>
    <x v="2"/>
    <s v="Yes"/>
    <n v="2"/>
    <x v="4"/>
    <x v="1"/>
    <x v="19"/>
    <x v="1"/>
  </r>
  <r>
    <n v="15752"/>
    <x v="0"/>
    <x v="1"/>
    <n v="80000"/>
    <x v="4"/>
    <x v="2"/>
    <x v="0"/>
    <s v="No"/>
    <n v="2"/>
    <x v="3"/>
    <x v="1"/>
    <x v="5"/>
    <x v="1"/>
  </r>
  <r>
    <n v="27745"/>
    <x v="1"/>
    <x v="1"/>
    <n v="40000"/>
    <x v="4"/>
    <x v="0"/>
    <x v="4"/>
    <s v="Yes"/>
    <n v="2"/>
    <x v="2"/>
    <x v="1"/>
    <x v="18"/>
    <x v="1"/>
  </r>
  <r>
    <n v="20828"/>
    <x v="0"/>
    <x v="0"/>
    <n v="30000"/>
    <x v="5"/>
    <x v="4"/>
    <x v="1"/>
    <s v="Yes"/>
    <n v="0"/>
    <x v="0"/>
    <x v="0"/>
    <x v="12"/>
    <x v="1"/>
  </r>
  <r>
    <n v="19461"/>
    <x v="1"/>
    <x v="0"/>
    <n v="10000"/>
    <x v="5"/>
    <x v="3"/>
    <x v="3"/>
    <s v="Yes"/>
    <n v="2"/>
    <x v="0"/>
    <x v="0"/>
    <x v="8"/>
    <x v="0"/>
  </r>
  <r>
    <n v="26941"/>
    <x v="0"/>
    <x v="1"/>
    <n v="30000"/>
    <x v="3"/>
    <x v="0"/>
    <x v="1"/>
    <s v="Yes"/>
    <n v="0"/>
    <x v="0"/>
    <x v="0"/>
    <x v="15"/>
    <x v="1"/>
  </r>
  <r>
    <n v="28412"/>
    <x v="1"/>
    <x v="1"/>
    <n v="20000"/>
    <x v="3"/>
    <x v="2"/>
    <x v="3"/>
    <s v="No"/>
    <n v="1"/>
    <x v="1"/>
    <x v="0"/>
    <x v="19"/>
    <x v="0"/>
  </r>
  <r>
    <n v="24485"/>
    <x v="1"/>
    <x v="1"/>
    <n v="40000"/>
    <x v="4"/>
    <x v="0"/>
    <x v="4"/>
    <s v="No"/>
    <n v="1"/>
    <x v="2"/>
    <x v="1"/>
    <x v="31"/>
    <x v="1"/>
  </r>
  <r>
    <n v="16514"/>
    <x v="1"/>
    <x v="1"/>
    <n v="10000"/>
    <x v="3"/>
    <x v="1"/>
    <x v="3"/>
    <s v="Yes"/>
    <n v="1"/>
    <x v="3"/>
    <x v="1"/>
    <x v="22"/>
    <x v="1"/>
  </r>
  <r>
    <n v="17191"/>
    <x v="1"/>
    <x v="1"/>
    <n v="130000"/>
    <x v="1"/>
    <x v="1"/>
    <x v="2"/>
    <s v="No"/>
    <n v="3"/>
    <x v="0"/>
    <x v="0"/>
    <x v="36"/>
    <x v="1"/>
  </r>
  <r>
    <n v="19608"/>
    <x v="0"/>
    <x v="1"/>
    <n v="80000"/>
    <x v="2"/>
    <x v="0"/>
    <x v="2"/>
    <s v="Yes"/>
    <n v="4"/>
    <x v="3"/>
    <x v="1"/>
    <x v="8"/>
    <x v="0"/>
  </r>
  <r>
    <n v="24119"/>
    <x v="1"/>
    <x v="1"/>
    <n v="30000"/>
    <x v="3"/>
    <x v="1"/>
    <x v="1"/>
    <s v="No"/>
    <n v="1"/>
    <x v="1"/>
    <x v="0"/>
    <x v="19"/>
    <x v="0"/>
  </r>
  <r>
    <n v="25458"/>
    <x v="0"/>
    <x v="1"/>
    <n v="20000"/>
    <x v="0"/>
    <x v="2"/>
    <x v="3"/>
    <s v="No"/>
    <n v="1"/>
    <x v="3"/>
    <x v="0"/>
    <x v="8"/>
    <x v="1"/>
  </r>
  <r>
    <n v="26886"/>
    <x v="1"/>
    <x v="0"/>
    <n v="30000"/>
    <x v="3"/>
    <x v="1"/>
    <x v="1"/>
    <s v="No"/>
    <n v="1"/>
    <x v="0"/>
    <x v="0"/>
    <x v="19"/>
    <x v="1"/>
  </r>
  <r>
    <n v="28436"/>
    <x v="1"/>
    <x v="1"/>
    <n v="30000"/>
    <x v="3"/>
    <x v="1"/>
    <x v="1"/>
    <s v="No"/>
    <n v="1"/>
    <x v="0"/>
    <x v="0"/>
    <x v="25"/>
    <x v="1"/>
  </r>
  <r>
    <n v="19562"/>
    <x v="1"/>
    <x v="0"/>
    <n v="60000"/>
    <x v="4"/>
    <x v="0"/>
    <x v="2"/>
    <s v="Yes"/>
    <n v="1"/>
    <x v="1"/>
    <x v="1"/>
    <x v="34"/>
    <x v="1"/>
  </r>
  <r>
    <n v="15608"/>
    <x v="1"/>
    <x v="0"/>
    <n v="30000"/>
    <x v="3"/>
    <x v="1"/>
    <x v="1"/>
    <s v="No"/>
    <n v="1"/>
    <x v="1"/>
    <x v="0"/>
    <x v="6"/>
    <x v="0"/>
  </r>
  <r>
    <n v="16487"/>
    <x v="1"/>
    <x v="0"/>
    <n v="30000"/>
    <x v="1"/>
    <x v="2"/>
    <x v="0"/>
    <s v="Yes"/>
    <n v="2"/>
    <x v="2"/>
    <x v="1"/>
    <x v="10"/>
    <x v="0"/>
  </r>
  <r>
    <n v="17197"/>
    <x v="1"/>
    <x v="0"/>
    <n v="90000"/>
    <x v="2"/>
    <x v="1"/>
    <x v="2"/>
    <s v="Yes"/>
    <n v="2"/>
    <x v="4"/>
    <x v="0"/>
    <x v="24"/>
    <x v="0"/>
  </r>
  <r>
    <n v="12507"/>
    <x v="0"/>
    <x v="1"/>
    <n v="30000"/>
    <x v="0"/>
    <x v="1"/>
    <x v="1"/>
    <s v="Yes"/>
    <n v="1"/>
    <x v="0"/>
    <x v="0"/>
    <x v="1"/>
    <x v="0"/>
  </r>
  <r>
    <n v="23940"/>
    <x v="0"/>
    <x v="1"/>
    <n v="40000"/>
    <x v="0"/>
    <x v="0"/>
    <x v="0"/>
    <s v="Yes"/>
    <n v="1"/>
    <x v="0"/>
    <x v="0"/>
    <x v="20"/>
    <x v="1"/>
  </r>
  <r>
    <n v="19441"/>
    <x v="0"/>
    <x v="1"/>
    <n v="40000"/>
    <x v="3"/>
    <x v="4"/>
    <x v="1"/>
    <s v="Yes"/>
    <n v="0"/>
    <x v="0"/>
    <x v="0"/>
    <x v="37"/>
    <x v="1"/>
  </r>
  <r>
    <n v="26852"/>
    <x v="0"/>
    <x v="0"/>
    <n v="20000"/>
    <x v="1"/>
    <x v="2"/>
    <x v="3"/>
    <s v="Yes"/>
    <n v="2"/>
    <x v="0"/>
    <x v="0"/>
    <x v="1"/>
    <x v="0"/>
  </r>
  <r>
    <n v="12274"/>
    <x v="1"/>
    <x v="1"/>
    <n v="10000"/>
    <x v="4"/>
    <x v="2"/>
    <x v="3"/>
    <s v="Yes"/>
    <n v="0"/>
    <x v="0"/>
    <x v="0"/>
    <x v="11"/>
    <x v="0"/>
  </r>
  <r>
    <n v="20236"/>
    <x v="1"/>
    <x v="1"/>
    <n v="60000"/>
    <x v="1"/>
    <x v="0"/>
    <x v="2"/>
    <s v="No"/>
    <n v="2"/>
    <x v="0"/>
    <x v="1"/>
    <x v="1"/>
    <x v="1"/>
  </r>
  <r>
    <n v="24149"/>
    <x v="0"/>
    <x v="1"/>
    <n v="10000"/>
    <x v="4"/>
    <x v="1"/>
    <x v="3"/>
    <s v="Yes"/>
    <n v="0"/>
    <x v="3"/>
    <x v="0"/>
    <x v="38"/>
    <x v="0"/>
  </r>
  <r>
    <n v="26139"/>
    <x v="1"/>
    <x v="1"/>
    <n v="60000"/>
    <x v="0"/>
    <x v="1"/>
    <x v="0"/>
    <s v="Yes"/>
    <n v="1"/>
    <x v="2"/>
    <x v="1"/>
    <x v="12"/>
    <x v="0"/>
  </r>
  <r>
    <n v="18491"/>
    <x v="1"/>
    <x v="0"/>
    <n v="70000"/>
    <x v="4"/>
    <x v="2"/>
    <x v="2"/>
    <s v="Yes"/>
    <n v="2"/>
    <x v="2"/>
    <x v="1"/>
    <x v="38"/>
    <x v="1"/>
  </r>
  <r>
    <n v="22707"/>
    <x v="1"/>
    <x v="0"/>
    <n v="30000"/>
    <x v="3"/>
    <x v="1"/>
    <x v="1"/>
    <s v="No"/>
    <n v="1"/>
    <x v="1"/>
    <x v="0"/>
    <x v="25"/>
    <x v="0"/>
  </r>
  <r>
    <n v="20430"/>
    <x v="0"/>
    <x v="1"/>
    <n v="70000"/>
    <x v="4"/>
    <x v="1"/>
    <x v="0"/>
    <s v="Yes"/>
    <n v="2"/>
    <x v="2"/>
    <x v="1"/>
    <x v="31"/>
    <x v="1"/>
  </r>
  <r>
    <n v="27494"/>
    <x v="1"/>
    <x v="0"/>
    <n v="40000"/>
    <x v="4"/>
    <x v="1"/>
    <x v="0"/>
    <s v="No"/>
    <n v="2"/>
    <x v="3"/>
    <x v="1"/>
    <x v="39"/>
    <x v="1"/>
  </r>
  <r>
    <n v="26829"/>
    <x v="0"/>
    <x v="0"/>
    <n v="40000"/>
    <x v="3"/>
    <x v="0"/>
    <x v="1"/>
    <s v="Yes"/>
    <n v="0"/>
    <x v="0"/>
    <x v="0"/>
    <x v="13"/>
    <x v="1"/>
  </r>
  <r>
    <n v="28395"/>
    <x v="1"/>
    <x v="1"/>
    <n v="40000"/>
    <x v="3"/>
    <x v="0"/>
    <x v="2"/>
    <s v="No"/>
    <n v="0"/>
    <x v="0"/>
    <x v="0"/>
    <x v="32"/>
    <x v="1"/>
  </r>
  <r>
    <n v="21006"/>
    <x v="1"/>
    <x v="0"/>
    <n v="30000"/>
    <x v="0"/>
    <x v="1"/>
    <x v="3"/>
    <s v="No"/>
    <n v="0"/>
    <x v="0"/>
    <x v="0"/>
    <x v="30"/>
    <x v="1"/>
  </r>
  <r>
    <n v="14682"/>
    <x v="1"/>
    <x v="0"/>
    <n v="70000"/>
    <x v="3"/>
    <x v="0"/>
    <x v="2"/>
    <s v="No"/>
    <n v="1"/>
    <x v="2"/>
    <x v="1"/>
    <x v="13"/>
    <x v="0"/>
  </r>
  <r>
    <n v="17650"/>
    <x v="1"/>
    <x v="0"/>
    <n v="40000"/>
    <x v="4"/>
    <x v="1"/>
    <x v="1"/>
    <s v="Yes"/>
    <n v="2"/>
    <x v="3"/>
    <x v="0"/>
    <x v="11"/>
    <x v="0"/>
  </r>
  <r>
    <n v="29191"/>
    <x v="1"/>
    <x v="0"/>
    <n v="130000"/>
    <x v="0"/>
    <x v="4"/>
    <x v="4"/>
    <s v="No"/>
    <n v="1"/>
    <x v="0"/>
    <x v="1"/>
    <x v="4"/>
    <x v="1"/>
  </r>
  <r>
    <n v="15030"/>
    <x v="0"/>
    <x v="1"/>
    <n v="20000"/>
    <x v="3"/>
    <x v="0"/>
    <x v="1"/>
    <s v="Yes"/>
    <n v="0"/>
    <x v="0"/>
    <x v="1"/>
    <x v="22"/>
    <x v="1"/>
  </r>
  <r>
    <n v="24140"/>
    <x v="1"/>
    <x v="1"/>
    <n v="10000"/>
    <x v="3"/>
    <x v="4"/>
    <x v="3"/>
    <s v="No"/>
    <n v="0"/>
    <x v="0"/>
    <x v="0"/>
    <x v="25"/>
    <x v="1"/>
  </r>
  <r>
    <n v="22496"/>
    <x v="0"/>
    <x v="0"/>
    <n v="30000"/>
    <x v="0"/>
    <x v="0"/>
    <x v="0"/>
    <s v="Yes"/>
    <n v="2"/>
    <x v="0"/>
    <x v="0"/>
    <x v="0"/>
    <x v="0"/>
  </r>
  <r>
    <n v="24065"/>
    <x v="1"/>
    <x v="0"/>
    <n v="20000"/>
    <x v="3"/>
    <x v="2"/>
    <x v="3"/>
    <s v="Yes"/>
    <n v="0"/>
    <x v="0"/>
    <x v="0"/>
    <x v="8"/>
    <x v="1"/>
  </r>
  <r>
    <n v="19914"/>
    <x v="0"/>
    <x v="1"/>
    <n v="80000"/>
    <x v="2"/>
    <x v="0"/>
    <x v="4"/>
    <s v="Yes"/>
    <n v="2"/>
    <x v="1"/>
    <x v="0"/>
    <x v="24"/>
    <x v="0"/>
  </r>
  <r>
    <n v="12871"/>
    <x v="1"/>
    <x v="0"/>
    <n v="30000"/>
    <x v="3"/>
    <x v="1"/>
    <x v="1"/>
    <s v="No"/>
    <n v="1"/>
    <x v="1"/>
    <x v="0"/>
    <x v="19"/>
    <x v="0"/>
  </r>
  <r>
    <n v="22988"/>
    <x v="0"/>
    <x v="0"/>
    <n v="40000"/>
    <x v="4"/>
    <x v="0"/>
    <x v="4"/>
    <s v="Yes"/>
    <n v="2"/>
    <x v="2"/>
    <x v="1"/>
    <x v="29"/>
    <x v="1"/>
  </r>
  <r>
    <n v="15922"/>
    <x v="0"/>
    <x v="1"/>
    <n v="150000"/>
    <x v="4"/>
    <x v="2"/>
    <x v="2"/>
    <s v="Yes"/>
    <n v="4"/>
    <x v="0"/>
    <x v="0"/>
    <x v="28"/>
    <x v="0"/>
  </r>
  <r>
    <n v="12344"/>
    <x v="1"/>
    <x v="0"/>
    <n v="80000"/>
    <x v="3"/>
    <x v="0"/>
    <x v="2"/>
    <s v="No"/>
    <n v="3"/>
    <x v="4"/>
    <x v="1"/>
    <x v="23"/>
    <x v="0"/>
  </r>
  <r>
    <n v="23627"/>
    <x v="1"/>
    <x v="0"/>
    <n v="100000"/>
    <x v="1"/>
    <x v="1"/>
    <x v="4"/>
    <s v="No"/>
    <n v="4"/>
    <x v="2"/>
    <x v="0"/>
    <x v="16"/>
    <x v="0"/>
  </r>
  <r>
    <n v="27775"/>
    <x v="1"/>
    <x v="0"/>
    <n v="40000"/>
    <x v="3"/>
    <x v="0"/>
    <x v="1"/>
    <s v="No"/>
    <n v="0"/>
    <x v="0"/>
    <x v="0"/>
    <x v="13"/>
    <x v="1"/>
  </r>
  <r>
    <n v="29301"/>
    <x v="0"/>
    <x v="1"/>
    <n v="80000"/>
    <x v="2"/>
    <x v="0"/>
    <x v="2"/>
    <s v="Yes"/>
    <n v="4"/>
    <x v="3"/>
    <x v="1"/>
    <x v="8"/>
    <x v="0"/>
  </r>
  <r>
    <n v="12716"/>
    <x v="1"/>
    <x v="1"/>
    <n v="30000"/>
    <x v="3"/>
    <x v="1"/>
    <x v="1"/>
    <s v="Yes"/>
    <n v="1"/>
    <x v="1"/>
    <x v="0"/>
    <x v="21"/>
    <x v="0"/>
  </r>
  <r>
    <n v="12472"/>
    <x v="0"/>
    <x v="1"/>
    <n v="30000"/>
    <x v="0"/>
    <x v="0"/>
    <x v="1"/>
    <s v="Yes"/>
    <n v="1"/>
    <x v="1"/>
    <x v="0"/>
    <x v="32"/>
    <x v="0"/>
  </r>
  <r>
    <n v="20970"/>
    <x v="1"/>
    <x v="1"/>
    <n v="10000"/>
    <x v="4"/>
    <x v="1"/>
    <x v="3"/>
    <s v="Yes"/>
    <n v="1"/>
    <x v="0"/>
    <x v="0"/>
    <x v="31"/>
    <x v="1"/>
  </r>
  <r>
    <n v="26818"/>
    <x v="1"/>
    <x v="1"/>
    <n v="10000"/>
    <x v="1"/>
    <x v="2"/>
    <x v="3"/>
    <s v="Yes"/>
    <n v="1"/>
    <x v="0"/>
    <x v="0"/>
    <x v="32"/>
    <x v="1"/>
  </r>
  <r>
    <n v="12993"/>
    <x v="0"/>
    <x v="1"/>
    <n v="60000"/>
    <x v="4"/>
    <x v="0"/>
    <x v="2"/>
    <s v="Yes"/>
    <n v="1"/>
    <x v="1"/>
    <x v="1"/>
    <x v="34"/>
    <x v="0"/>
  </r>
  <r>
    <n v="14192"/>
    <x v="0"/>
    <x v="1"/>
    <n v="90000"/>
    <x v="5"/>
    <x v="2"/>
    <x v="4"/>
    <s v="Yes"/>
    <n v="3"/>
    <x v="2"/>
    <x v="0"/>
    <x v="16"/>
    <x v="1"/>
  </r>
  <r>
    <n v="19477"/>
    <x v="0"/>
    <x v="1"/>
    <n v="40000"/>
    <x v="3"/>
    <x v="0"/>
    <x v="2"/>
    <s v="Yes"/>
    <n v="0"/>
    <x v="0"/>
    <x v="0"/>
    <x v="8"/>
    <x v="1"/>
  </r>
  <r>
    <n v="26796"/>
    <x v="1"/>
    <x v="1"/>
    <n v="40000"/>
    <x v="4"/>
    <x v="0"/>
    <x v="4"/>
    <s v="Yes"/>
    <n v="2"/>
    <x v="2"/>
    <x v="1"/>
    <x v="27"/>
    <x v="1"/>
  </r>
  <r>
    <n v="21094"/>
    <x v="1"/>
    <x v="0"/>
    <n v="30000"/>
    <x v="4"/>
    <x v="1"/>
    <x v="1"/>
    <s v="Yes"/>
    <n v="2"/>
    <x v="0"/>
    <x v="0"/>
    <x v="0"/>
    <x v="0"/>
  </r>
  <r>
    <n v="12234"/>
    <x v="0"/>
    <x v="1"/>
    <n v="10000"/>
    <x v="4"/>
    <x v="1"/>
    <x v="3"/>
    <s v="Yes"/>
    <n v="1"/>
    <x v="1"/>
    <x v="0"/>
    <x v="31"/>
    <x v="0"/>
  </r>
  <r>
    <n v="28683"/>
    <x v="1"/>
    <x v="0"/>
    <n v="10000"/>
    <x v="0"/>
    <x v="2"/>
    <x v="3"/>
    <s v="No"/>
    <n v="1"/>
    <x v="2"/>
    <x v="0"/>
    <x v="11"/>
    <x v="1"/>
  </r>
  <r>
    <n v="17994"/>
    <x v="1"/>
    <x v="1"/>
    <n v="20000"/>
    <x v="4"/>
    <x v="2"/>
    <x v="3"/>
    <s v="Yes"/>
    <n v="2"/>
    <x v="0"/>
    <x v="0"/>
    <x v="0"/>
    <x v="0"/>
  </r>
  <r>
    <n v="24273"/>
    <x v="0"/>
    <x v="0"/>
    <n v="20000"/>
    <x v="4"/>
    <x v="3"/>
    <x v="1"/>
    <s v="Yes"/>
    <n v="2"/>
    <x v="2"/>
    <x v="1"/>
    <x v="10"/>
    <x v="1"/>
  </r>
  <r>
    <n v="26547"/>
    <x v="1"/>
    <x v="0"/>
    <n v="30000"/>
    <x v="4"/>
    <x v="1"/>
    <x v="1"/>
    <s v="No"/>
    <n v="2"/>
    <x v="2"/>
    <x v="1"/>
    <x v="2"/>
    <x v="1"/>
  </r>
  <r>
    <n v="22500"/>
    <x v="1"/>
    <x v="1"/>
    <n v="40000"/>
    <x v="3"/>
    <x v="0"/>
    <x v="2"/>
    <s v="No"/>
    <n v="0"/>
    <x v="0"/>
    <x v="0"/>
    <x v="8"/>
    <x v="1"/>
  </r>
  <r>
    <n v="23993"/>
    <x v="1"/>
    <x v="0"/>
    <n v="10000"/>
    <x v="3"/>
    <x v="1"/>
    <x v="3"/>
    <s v="No"/>
    <n v="1"/>
    <x v="0"/>
    <x v="1"/>
    <x v="22"/>
    <x v="1"/>
  </r>
  <r>
    <n v="14832"/>
    <x v="0"/>
    <x v="1"/>
    <n v="40000"/>
    <x v="0"/>
    <x v="0"/>
    <x v="0"/>
    <s v="Yes"/>
    <n v="0"/>
    <x v="0"/>
    <x v="0"/>
    <x v="0"/>
    <x v="1"/>
  </r>
  <r>
    <n v="16614"/>
    <x v="0"/>
    <x v="0"/>
    <n v="80000"/>
    <x v="3"/>
    <x v="0"/>
    <x v="2"/>
    <s v="Yes"/>
    <n v="3"/>
    <x v="4"/>
    <x v="1"/>
    <x v="21"/>
    <x v="0"/>
  </r>
  <r>
    <n v="20877"/>
    <x v="1"/>
    <x v="1"/>
    <n v="30000"/>
    <x v="0"/>
    <x v="0"/>
    <x v="1"/>
    <s v="Yes"/>
    <n v="0"/>
    <x v="3"/>
    <x v="0"/>
    <x v="34"/>
    <x v="1"/>
  </r>
  <r>
    <n v="20729"/>
    <x v="0"/>
    <x v="0"/>
    <n v="40000"/>
    <x v="4"/>
    <x v="1"/>
    <x v="1"/>
    <s v="No"/>
    <n v="1"/>
    <x v="0"/>
    <x v="0"/>
    <x v="17"/>
    <x v="0"/>
  </r>
  <r>
    <n v="22464"/>
    <x v="0"/>
    <x v="1"/>
    <n v="40000"/>
    <x v="3"/>
    <x v="4"/>
    <x v="1"/>
    <s v="Yes"/>
    <n v="0"/>
    <x v="0"/>
    <x v="0"/>
    <x v="34"/>
    <x v="1"/>
  </r>
  <r>
    <n v="19475"/>
    <x v="0"/>
    <x v="0"/>
    <n v="40000"/>
    <x v="3"/>
    <x v="0"/>
    <x v="2"/>
    <s v="No"/>
    <n v="0"/>
    <x v="0"/>
    <x v="0"/>
    <x v="8"/>
    <x v="1"/>
  </r>
  <r>
    <n v="19675"/>
    <x v="0"/>
    <x v="1"/>
    <n v="20000"/>
    <x v="5"/>
    <x v="2"/>
    <x v="0"/>
    <s v="Yes"/>
    <n v="2"/>
    <x v="2"/>
    <x v="1"/>
    <x v="2"/>
    <x v="0"/>
  </r>
  <r>
    <n v="12728"/>
    <x v="1"/>
    <x v="1"/>
    <n v="30000"/>
    <x v="3"/>
    <x v="1"/>
    <x v="1"/>
    <s v="No"/>
    <n v="1"/>
    <x v="3"/>
    <x v="0"/>
    <x v="40"/>
    <x v="0"/>
  </r>
  <r>
    <n v="26154"/>
    <x v="0"/>
    <x v="1"/>
    <n v="60000"/>
    <x v="0"/>
    <x v="1"/>
    <x v="0"/>
    <s v="Yes"/>
    <n v="1"/>
    <x v="2"/>
    <x v="1"/>
    <x v="1"/>
    <x v="1"/>
  </r>
  <r>
    <n v="29117"/>
    <x v="1"/>
    <x v="1"/>
    <n v="100000"/>
    <x v="0"/>
    <x v="0"/>
    <x v="4"/>
    <s v="No"/>
    <n v="3"/>
    <x v="0"/>
    <x v="1"/>
    <x v="28"/>
    <x v="0"/>
  </r>
  <r>
    <n v="17845"/>
    <x v="1"/>
    <x v="0"/>
    <n v="20000"/>
    <x v="3"/>
    <x v="3"/>
    <x v="3"/>
    <s v="No"/>
    <n v="2"/>
    <x v="3"/>
    <x v="0"/>
    <x v="21"/>
    <x v="0"/>
  </r>
  <r>
    <n v="25058"/>
    <x v="0"/>
    <x v="1"/>
    <n v="100000"/>
    <x v="0"/>
    <x v="0"/>
    <x v="4"/>
    <s v="Yes"/>
    <n v="3"/>
    <x v="1"/>
    <x v="1"/>
    <x v="15"/>
    <x v="0"/>
  </r>
  <r>
    <n v="23426"/>
    <x v="1"/>
    <x v="1"/>
    <n v="80000"/>
    <x v="2"/>
    <x v="4"/>
    <x v="4"/>
    <s v="Yes"/>
    <n v="3"/>
    <x v="0"/>
    <x v="1"/>
    <x v="8"/>
    <x v="0"/>
  </r>
  <r>
    <n v="14798"/>
    <x v="1"/>
    <x v="0"/>
    <n v="10000"/>
    <x v="5"/>
    <x v="3"/>
    <x v="3"/>
    <s v="Yes"/>
    <n v="2"/>
    <x v="0"/>
    <x v="0"/>
    <x v="3"/>
    <x v="1"/>
  </r>
  <r>
    <n v="12664"/>
    <x v="0"/>
    <x v="0"/>
    <n v="130000"/>
    <x v="2"/>
    <x v="1"/>
    <x v="2"/>
    <s v="Yes"/>
    <n v="4"/>
    <x v="0"/>
    <x v="0"/>
    <x v="14"/>
    <x v="0"/>
  </r>
  <r>
    <n v="23979"/>
    <x v="1"/>
    <x v="1"/>
    <n v="10000"/>
    <x v="4"/>
    <x v="1"/>
    <x v="3"/>
    <s v="No"/>
    <n v="0"/>
    <x v="0"/>
    <x v="0"/>
    <x v="5"/>
    <x v="0"/>
  </r>
  <r>
    <n v="25605"/>
    <x v="1"/>
    <x v="0"/>
    <n v="20000"/>
    <x v="4"/>
    <x v="1"/>
    <x v="3"/>
    <s v="No"/>
    <n v="1"/>
    <x v="0"/>
    <x v="0"/>
    <x v="9"/>
    <x v="1"/>
  </r>
  <r>
    <n v="20797"/>
    <x v="0"/>
    <x v="0"/>
    <n v="10000"/>
    <x v="0"/>
    <x v="0"/>
    <x v="3"/>
    <s v="Yes"/>
    <n v="0"/>
    <x v="0"/>
    <x v="0"/>
    <x v="28"/>
    <x v="0"/>
  </r>
  <r>
    <n v="21980"/>
    <x v="1"/>
    <x v="0"/>
    <n v="60000"/>
    <x v="0"/>
    <x v="0"/>
    <x v="2"/>
    <s v="Yes"/>
    <n v="1"/>
    <x v="2"/>
    <x v="1"/>
    <x v="20"/>
    <x v="1"/>
  </r>
  <r>
    <n v="25460"/>
    <x v="0"/>
    <x v="0"/>
    <n v="20000"/>
    <x v="4"/>
    <x v="2"/>
    <x v="3"/>
    <s v="Yes"/>
    <n v="0"/>
    <x v="0"/>
    <x v="0"/>
    <x v="8"/>
    <x v="1"/>
  </r>
  <r>
    <n v="29181"/>
    <x v="1"/>
    <x v="0"/>
    <n v="60000"/>
    <x v="4"/>
    <x v="0"/>
    <x v="2"/>
    <s v="No"/>
    <n v="1"/>
    <x v="0"/>
    <x v="1"/>
    <x v="13"/>
    <x v="1"/>
  </r>
  <r>
    <n v="24279"/>
    <x v="1"/>
    <x v="1"/>
    <n v="40000"/>
    <x v="4"/>
    <x v="1"/>
    <x v="0"/>
    <s v="No"/>
    <n v="2"/>
    <x v="3"/>
    <x v="1"/>
    <x v="31"/>
    <x v="0"/>
  </r>
  <r>
    <n v="22402"/>
    <x v="0"/>
    <x v="1"/>
    <n v="10000"/>
    <x v="3"/>
    <x v="1"/>
    <x v="3"/>
    <s v="Yes"/>
    <n v="1"/>
    <x v="1"/>
    <x v="1"/>
    <x v="37"/>
    <x v="1"/>
  </r>
  <r>
    <n v="15465"/>
    <x v="0"/>
    <x v="0"/>
    <n v="10000"/>
    <x v="3"/>
    <x v="1"/>
    <x v="3"/>
    <s v="No"/>
    <n v="1"/>
    <x v="0"/>
    <x v="1"/>
    <x v="37"/>
    <x v="0"/>
  </r>
  <r>
    <n v="26757"/>
    <x v="1"/>
    <x v="1"/>
    <n v="90000"/>
    <x v="0"/>
    <x v="0"/>
    <x v="2"/>
    <s v="Yes"/>
    <n v="1"/>
    <x v="1"/>
    <x v="1"/>
    <x v="15"/>
    <x v="1"/>
  </r>
  <r>
    <n v="14233"/>
    <x v="1"/>
    <x v="1"/>
    <n v="100000"/>
    <x v="3"/>
    <x v="2"/>
    <x v="4"/>
    <s v="Yes"/>
    <n v="3"/>
    <x v="4"/>
    <x v="1"/>
    <x v="11"/>
    <x v="0"/>
  </r>
  <r>
    <n v="14058"/>
    <x v="1"/>
    <x v="1"/>
    <n v="70000"/>
    <x v="3"/>
    <x v="0"/>
    <x v="2"/>
    <s v="No"/>
    <n v="1"/>
    <x v="2"/>
    <x v="1"/>
    <x v="3"/>
    <x v="1"/>
  </r>
  <r>
    <n v="12273"/>
    <x v="0"/>
    <x v="1"/>
    <n v="30000"/>
    <x v="0"/>
    <x v="0"/>
    <x v="1"/>
    <s v="Yes"/>
    <n v="0"/>
    <x v="0"/>
    <x v="0"/>
    <x v="15"/>
    <x v="0"/>
  </r>
  <r>
    <n v="17203"/>
    <x v="0"/>
    <x v="0"/>
    <n v="130000"/>
    <x v="5"/>
    <x v="1"/>
    <x v="2"/>
    <s v="Yes"/>
    <n v="4"/>
    <x v="2"/>
    <x v="0"/>
    <x v="33"/>
    <x v="1"/>
  </r>
  <r>
    <n v="18144"/>
    <x v="0"/>
    <x v="0"/>
    <n v="80000"/>
    <x v="2"/>
    <x v="0"/>
    <x v="4"/>
    <s v="Yes"/>
    <n v="2"/>
    <x v="1"/>
    <x v="0"/>
    <x v="33"/>
    <x v="0"/>
  </r>
  <r>
    <n v="23963"/>
    <x v="0"/>
    <x v="1"/>
    <n v="10000"/>
    <x v="3"/>
    <x v="3"/>
    <x v="3"/>
    <s v="No"/>
    <n v="2"/>
    <x v="0"/>
    <x v="0"/>
    <x v="6"/>
    <x v="0"/>
  </r>
  <r>
    <n v="17907"/>
    <x v="0"/>
    <x v="0"/>
    <n v="10000"/>
    <x v="3"/>
    <x v="1"/>
    <x v="3"/>
    <s v="Yes"/>
    <n v="1"/>
    <x v="1"/>
    <x v="1"/>
    <x v="40"/>
    <x v="0"/>
  </r>
  <r>
    <n v="19442"/>
    <x v="1"/>
    <x v="1"/>
    <n v="50000"/>
    <x v="3"/>
    <x v="4"/>
    <x v="0"/>
    <s v="Yes"/>
    <n v="0"/>
    <x v="0"/>
    <x v="0"/>
    <x v="34"/>
    <x v="1"/>
  </r>
  <r>
    <n v="17504"/>
    <x v="1"/>
    <x v="0"/>
    <n v="80000"/>
    <x v="4"/>
    <x v="1"/>
    <x v="0"/>
    <s v="Yes"/>
    <n v="2"/>
    <x v="2"/>
    <x v="1"/>
    <x v="31"/>
    <x v="1"/>
  </r>
  <r>
    <n v="12253"/>
    <x v="1"/>
    <x v="0"/>
    <n v="20000"/>
    <x v="3"/>
    <x v="1"/>
    <x v="3"/>
    <s v="Yes"/>
    <n v="0"/>
    <x v="0"/>
    <x v="1"/>
    <x v="19"/>
    <x v="1"/>
  </r>
  <r>
    <n v="27304"/>
    <x v="1"/>
    <x v="0"/>
    <n v="110000"/>
    <x v="4"/>
    <x v="1"/>
    <x v="2"/>
    <s v="No"/>
    <n v="3"/>
    <x v="2"/>
    <x v="0"/>
    <x v="28"/>
    <x v="0"/>
  </r>
  <r>
    <n v="14191"/>
    <x v="0"/>
    <x v="1"/>
    <n v="160000"/>
    <x v="5"/>
    <x v="1"/>
    <x v="2"/>
    <s v="No"/>
    <n v="2"/>
    <x v="4"/>
    <x v="0"/>
    <x v="10"/>
    <x v="1"/>
  </r>
  <r>
    <n v="12212"/>
    <x v="0"/>
    <x v="0"/>
    <n v="10000"/>
    <x v="3"/>
    <x v="4"/>
    <x v="3"/>
    <s v="Yes"/>
    <n v="0"/>
    <x v="0"/>
    <x v="0"/>
    <x v="34"/>
    <x v="1"/>
  </r>
  <r>
    <n v="25529"/>
    <x v="1"/>
    <x v="1"/>
    <n v="10000"/>
    <x v="0"/>
    <x v="4"/>
    <x v="3"/>
    <s v="Yes"/>
    <n v="0"/>
    <x v="0"/>
    <x v="0"/>
    <x v="20"/>
    <x v="0"/>
  </r>
  <r>
    <n v="22170"/>
    <x v="0"/>
    <x v="0"/>
    <n v="30000"/>
    <x v="1"/>
    <x v="1"/>
    <x v="1"/>
    <s v="No"/>
    <n v="2"/>
    <x v="3"/>
    <x v="1"/>
    <x v="10"/>
    <x v="1"/>
  </r>
  <r>
    <n v="19445"/>
    <x v="0"/>
    <x v="0"/>
    <n v="10000"/>
    <x v="4"/>
    <x v="2"/>
    <x v="3"/>
    <s v="No"/>
    <n v="1"/>
    <x v="0"/>
    <x v="0"/>
    <x v="13"/>
    <x v="0"/>
  </r>
  <r>
    <n v="15265"/>
    <x v="1"/>
    <x v="1"/>
    <n v="40000"/>
    <x v="4"/>
    <x v="0"/>
    <x v="4"/>
    <s v="Yes"/>
    <n v="2"/>
    <x v="2"/>
    <x v="1"/>
    <x v="29"/>
    <x v="1"/>
  </r>
  <r>
    <n v="28918"/>
    <x v="0"/>
    <x v="0"/>
    <n v="130000"/>
    <x v="5"/>
    <x v="2"/>
    <x v="4"/>
    <s v="No"/>
    <n v="4"/>
    <x v="4"/>
    <x v="0"/>
    <x v="7"/>
    <x v="0"/>
  </r>
  <r>
    <n v="15799"/>
    <x v="0"/>
    <x v="0"/>
    <n v="90000"/>
    <x v="0"/>
    <x v="0"/>
    <x v="2"/>
    <s v="Yes"/>
    <n v="1"/>
    <x v="1"/>
    <x v="1"/>
    <x v="15"/>
    <x v="1"/>
  </r>
  <r>
    <n v="11047"/>
    <x v="0"/>
    <x v="0"/>
    <n v="30000"/>
    <x v="1"/>
    <x v="2"/>
    <x v="0"/>
    <s v="No"/>
    <n v="2"/>
    <x v="3"/>
    <x v="1"/>
    <x v="16"/>
    <x v="1"/>
  </r>
  <r>
    <n v="18151"/>
    <x v="1"/>
    <x v="1"/>
    <n v="80000"/>
    <x v="2"/>
    <x v="1"/>
    <x v="2"/>
    <s v="No"/>
    <n v="2"/>
    <x v="4"/>
    <x v="0"/>
    <x v="14"/>
    <x v="0"/>
  </r>
  <r>
    <n v="20606"/>
    <x v="0"/>
    <x v="0"/>
    <n v="70000"/>
    <x v="3"/>
    <x v="0"/>
    <x v="2"/>
    <s v="Yes"/>
    <n v="4"/>
    <x v="4"/>
    <x v="1"/>
    <x v="21"/>
    <x v="1"/>
  </r>
  <r>
    <n v="19482"/>
    <x v="0"/>
    <x v="1"/>
    <n v="30000"/>
    <x v="0"/>
    <x v="1"/>
    <x v="1"/>
    <s v="Yes"/>
    <n v="1"/>
    <x v="0"/>
    <x v="0"/>
    <x v="20"/>
    <x v="1"/>
  </r>
  <r>
    <n v="16489"/>
    <x v="0"/>
    <x v="1"/>
    <n v="30000"/>
    <x v="1"/>
    <x v="2"/>
    <x v="0"/>
    <s v="Yes"/>
    <n v="2"/>
    <x v="2"/>
    <x v="1"/>
    <x v="10"/>
    <x v="0"/>
  </r>
  <r>
    <n v="26944"/>
    <x v="1"/>
    <x v="1"/>
    <n v="90000"/>
    <x v="4"/>
    <x v="2"/>
    <x v="3"/>
    <s v="Yes"/>
    <n v="0"/>
    <x v="0"/>
    <x v="0"/>
    <x v="4"/>
    <x v="1"/>
  </r>
  <r>
    <n v="15682"/>
    <x v="1"/>
    <x v="0"/>
    <n v="80000"/>
    <x v="2"/>
    <x v="0"/>
    <x v="4"/>
    <s v="Yes"/>
    <n v="2"/>
    <x v="4"/>
    <x v="0"/>
    <x v="24"/>
    <x v="0"/>
  </r>
  <r>
    <n v="26032"/>
    <x v="0"/>
    <x v="0"/>
    <n v="70000"/>
    <x v="2"/>
    <x v="0"/>
    <x v="2"/>
    <s v="Yes"/>
    <n v="4"/>
    <x v="4"/>
    <x v="1"/>
    <x v="3"/>
    <x v="0"/>
  </r>
  <r>
    <n v="17843"/>
    <x v="1"/>
    <x v="0"/>
    <n v="10000"/>
    <x v="3"/>
    <x v="3"/>
    <x v="3"/>
    <s v="No"/>
    <n v="2"/>
    <x v="0"/>
    <x v="0"/>
    <x v="21"/>
    <x v="0"/>
  </r>
  <r>
    <n v="25559"/>
    <x v="1"/>
    <x v="1"/>
    <n v="20000"/>
    <x v="3"/>
    <x v="0"/>
    <x v="1"/>
    <s v="Yes"/>
    <n v="0"/>
    <x v="0"/>
    <x v="1"/>
    <x v="37"/>
    <x v="1"/>
  </r>
  <r>
    <n v="16209"/>
    <x v="1"/>
    <x v="0"/>
    <n v="50000"/>
    <x v="3"/>
    <x v="4"/>
    <x v="0"/>
    <s v="Yes"/>
    <n v="0"/>
    <x v="3"/>
    <x v="0"/>
    <x v="4"/>
    <x v="0"/>
  </r>
  <r>
    <n v="11147"/>
    <x v="0"/>
    <x v="1"/>
    <n v="60000"/>
    <x v="4"/>
    <x v="4"/>
    <x v="4"/>
    <s v="Yes"/>
    <n v="1"/>
    <x v="0"/>
    <x v="1"/>
    <x v="41"/>
    <x v="1"/>
  </r>
  <r>
    <n v="15214"/>
    <x v="1"/>
    <x v="0"/>
    <n v="100000"/>
    <x v="3"/>
    <x v="4"/>
    <x v="4"/>
    <s v="No"/>
    <n v="1"/>
    <x v="3"/>
    <x v="1"/>
    <x v="32"/>
    <x v="1"/>
  </r>
  <r>
    <n v="11453"/>
    <x v="1"/>
    <x v="1"/>
    <n v="80000"/>
    <x v="3"/>
    <x v="0"/>
    <x v="2"/>
    <s v="No"/>
    <n v="3"/>
    <x v="4"/>
    <x v="1"/>
    <x v="6"/>
    <x v="1"/>
  </r>
  <r>
    <n v="24584"/>
    <x v="1"/>
    <x v="1"/>
    <n v="60000"/>
    <x v="3"/>
    <x v="0"/>
    <x v="2"/>
    <s v="No"/>
    <n v="3"/>
    <x v="1"/>
    <x v="1"/>
    <x v="23"/>
    <x v="0"/>
  </r>
  <r>
    <n v="12585"/>
    <x v="0"/>
    <x v="1"/>
    <n v="10000"/>
    <x v="0"/>
    <x v="2"/>
    <x v="3"/>
    <s v="Yes"/>
    <n v="0"/>
    <x v="1"/>
    <x v="1"/>
    <x v="40"/>
    <x v="1"/>
  </r>
  <r>
    <n v="18626"/>
    <x v="1"/>
    <x v="1"/>
    <n v="40000"/>
    <x v="4"/>
    <x v="1"/>
    <x v="1"/>
    <s v="Yes"/>
    <n v="0"/>
    <x v="3"/>
    <x v="0"/>
    <x v="6"/>
    <x v="1"/>
  </r>
  <r>
    <n v="29298"/>
    <x v="1"/>
    <x v="0"/>
    <n v="60000"/>
    <x v="0"/>
    <x v="1"/>
    <x v="0"/>
    <s v="Yes"/>
    <n v="1"/>
    <x v="2"/>
    <x v="1"/>
    <x v="30"/>
    <x v="1"/>
  </r>
  <r>
    <n v="24842"/>
    <x v="1"/>
    <x v="0"/>
    <n v="90000"/>
    <x v="1"/>
    <x v="2"/>
    <x v="2"/>
    <s v="No"/>
    <n v="1"/>
    <x v="1"/>
    <x v="0"/>
    <x v="36"/>
    <x v="0"/>
  </r>
  <r>
    <n v="15657"/>
    <x v="0"/>
    <x v="1"/>
    <n v="30000"/>
    <x v="1"/>
    <x v="4"/>
    <x v="1"/>
    <s v="Yes"/>
    <n v="0"/>
    <x v="0"/>
    <x v="0"/>
    <x v="30"/>
    <x v="1"/>
  </r>
  <r>
    <n v="11415"/>
    <x v="1"/>
    <x v="1"/>
    <n v="90000"/>
    <x v="2"/>
    <x v="1"/>
    <x v="2"/>
    <s v="No"/>
    <n v="2"/>
    <x v="4"/>
    <x v="0"/>
    <x v="24"/>
    <x v="0"/>
  </r>
  <r>
    <n v="28729"/>
    <x v="1"/>
    <x v="0"/>
    <n v="20000"/>
    <x v="3"/>
    <x v="3"/>
    <x v="3"/>
    <s v="Yes"/>
    <n v="2"/>
    <x v="3"/>
    <x v="0"/>
    <x v="22"/>
    <x v="1"/>
  </r>
  <r>
    <n v="22633"/>
    <x v="1"/>
    <x v="0"/>
    <n v="40000"/>
    <x v="3"/>
    <x v="4"/>
    <x v="1"/>
    <s v="Yes"/>
    <n v="0"/>
    <x v="0"/>
    <x v="0"/>
    <x v="34"/>
    <x v="1"/>
  </r>
  <r>
    <n v="25649"/>
    <x v="1"/>
    <x v="0"/>
    <n v="30000"/>
    <x v="1"/>
    <x v="1"/>
    <x v="1"/>
    <s v="Yes"/>
    <n v="0"/>
    <x v="0"/>
    <x v="0"/>
    <x v="0"/>
    <x v="1"/>
  </r>
  <r>
    <n v="14669"/>
    <x v="0"/>
    <x v="0"/>
    <n v="80000"/>
    <x v="5"/>
    <x v="4"/>
    <x v="4"/>
    <s v="Yes"/>
    <n v="1"/>
    <x v="0"/>
    <x v="1"/>
    <x v="4"/>
    <x v="0"/>
  </r>
  <r>
    <n v="19299"/>
    <x v="0"/>
    <x v="0"/>
    <n v="50000"/>
    <x v="3"/>
    <x v="4"/>
    <x v="0"/>
    <s v="Yes"/>
    <n v="0"/>
    <x v="0"/>
    <x v="0"/>
    <x v="4"/>
    <x v="1"/>
  </r>
  <r>
    <n v="20946"/>
    <x v="1"/>
    <x v="0"/>
    <n v="30000"/>
    <x v="3"/>
    <x v="1"/>
    <x v="1"/>
    <s v="No"/>
    <n v="1"/>
    <x v="1"/>
    <x v="0"/>
    <x v="25"/>
    <x v="0"/>
  </r>
  <r>
    <n v="11451"/>
    <x v="1"/>
    <x v="1"/>
    <n v="70000"/>
    <x v="3"/>
    <x v="0"/>
    <x v="2"/>
    <s v="No"/>
    <n v="4"/>
    <x v="4"/>
    <x v="1"/>
    <x v="23"/>
    <x v="1"/>
  </r>
  <r>
    <n v="25553"/>
    <x v="0"/>
    <x v="1"/>
    <n v="30000"/>
    <x v="0"/>
    <x v="0"/>
    <x v="1"/>
    <s v="Yes"/>
    <n v="0"/>
    <x v="0"/>
    <x v="0"/>
    <x v="27"/>
    <x v="1"/>
  </r>
  <r>
    <n v="27951"/>
    <x v="1"/>
    <x v="1"/>
    <n v="80000"/>
    <x v="5"/>
    <x v="1"/>
    <x v="2"/>
    <s v="No"/>
    <n v="2"/>
    <x v="1"/>
    <x v="0"/>
    <x v="9"/>
    <x v="1"/>
  </r>
  <r>
    <n v="25026"/>
    <x v="0"/>
    <x v="1"/>
    <n v="20000"/>
    <x v="4"/>
    <x v="3"/>
    <x v="1"/>
    <s v="Yes"/>
    <n v="3"/>
    <x v="2"/>
    <x v="1"/>
    <x v="9"/>
    <x v="0"/>
  </r>
  <r>
    <n v="13673"/>
    <x v="1"/>
    <x v="0"/>
    <n v="20000"/>
    <x v="3"/>
    <x v="3"/>
    <x v="3"/>
    <s v="No"/>
    <n v="2"/>
    <x v="0"/>
    <x v="0"/>
    <x v="37"/>
    <x v="0"/>
  </r>
  <r>
    <n v="16043"/>
    <x v="1"/>
    <x v="1"/>
    <n v="10000"/>
    <x v="0"/>
    <x v="0"/>
    <x v="3"/>
    <s v="Yes"/>
    <n v="0"/>
    <x v="0"/>
    <x v="0"/>
    <x v="28"/>
    <x v="0"/>
  </r>
  <r>
    <n v="22399"/>
    <x v="1"/>
    <x v="1"/>
    <n v="10000"/>
    <x v="3"/>
    <x v="1"/>
    <x v="3"/>
    <s v="Yes"/>
    <n v="1"/>
    <x v="3"/>
    <x v="1"/>
    <x v="22"/>
    <x v="1"/>
  </r>
  <r>
    <n v="27696"/>
    <x v="0"/>
    <x v="1"/>
    <n v="60000"/>
    <x v="0"/>
    <x v="0"/>
    <x v="2"/>
    <s v="Yes"/>
    <n v="1"/>
    <x v="2"/>
    <x v="1"/>
    <x v="1"/>
    <x v="1"/>
  </r>
  <r>
    <n v="25313"/>
    <x v="1"/>
    <x v="1"/>
    <n v="10000"/>
    <x v="3"/>
    <x v="3"/>
    <x v="3"/>
    <s v="No"/>
    <n v="2"/>
    <x v="3"/>
    <x v="0"/>
    <x v="11"/>
    <x v="0"/>
  </r>
  <r>
    <n v="13813"/>
    <x v="0"/>
    <x v="0"/>
    <n v="30000"/>
    <x v="1"/>
    <x v="1"/>
    <x v="1"/>
    <s v="No"/>
    <n v="0"/>
    <x v="0"/>
    <x v="0"/>
    <x v="0"/>
    <x v="0"/>
  </r>
  <r>
    <n v="18711"/>
    <x v="1"/>
    <x v="0"/>
    <n v="70000"/>
    <x v="2"/>
    <x v="0"/>
    <x v="2"/>
    <s v="Yes"/>
    <n v="4"/>
    <x v="4"/>
    <x v="1"/>
    <x v="32"/>
    <x v="0"/>
  </r>
  <r>
    <n v="19650"/>
    <x v="0"/>
    <x v="0"/>
    <n v="30000"/>
    <x v="4"/>
    <x v="1"/>
    <x v="1"/>
    <s v="No"/>
    <n v="2"/>
    <x v="0"/>
    <x v="1"/>
    <x v="41"/>
    <x v="0"/>
  </r>
  <r>
    <n v="14135"/>
    <x v="0"/>
    <x v="1"/>
    <n v="20000"/>
    <x v="0"/>
    <x v="1"/>
    <x v="3"/>
    <s v="Yes"/>
    <n v="0"/>
    <x v="3"/>
    <x v="0"/>
    <x v="11"/>
    <x v="0"/>
  </r>
  <r>
    <n v="12833"/>
    <x v="1"/>
    <x v="0"/>
    <n v="20000"/>
    <x v="1"/>
    <x v="2"/>
    <x v="3"/>
    <s v="Yes"/>
    <n v="1"/>
    <x v="0"/>
    <x v="0"/>
    <x v="0"/>
    <x v="1"/>
  </r>
  <r>
    <n v="26849"/>
    <x v="0"/>
    <x v="1"/>
    <n v="10000"/>
    <x v="1"/>
    <x v="3"/>
    <x v="3"/>
    <s v="Yes"/>
    <n v="2"/>
    <x v="0"/>
    <x v="0"/>
    <x v="1"/>
    <x v="0"/>
  </r>
  <r>
    <n v="20962"/>
    <x v="0"/>
    <x v="0"/>
    <n v="20000"/>
    <x v="0"/>
    <x v="4"/>
    <x v="1"/>
    <s v="Yes"/>
    <n v="0"/>
    <x v="0"/>
    <x v="0"/>
    <x v="12"/>
    <x v="0"/>
  </r>
  <r>
    <n v="28915"/>
    <x v="1"/>
    <x v="1"/>
    <n v="80000"/>
    <x v="2"/>
    <x v="2"/>
    <x v="4"/>
    <s v="Yes"/>
    <n v="3"/>
    <x v="4"/>
    <x v="0"/>
    <x v="42"/>
    <x v="0"/>
  </r>
  <r>
    <n v="22830"/>
    <x v="0"/>
    <x v="1"/>
    <n v="120000"/>
    <x v="5"/>
    <x v="1"/>
    <x v="4"/>
    <s v="Yes"/>
    <n v="3"/>
    <x v="4"/>
    <x v="0"/>
    <x v="16"/>
    <x v="0"/>
  </r>
  <r>
    <n v="14777"/>
    <x v="0"/>
    <x v="0"/>
    <n v="40000"/>
    <x v="3"/>
    <x v="0"/>
    <x v="1"/>
    <s v="Yes"/>
    <n v="0"/>
    <x v="0"/>
    <x v="0"/>
    <x v="13"/>
    <x v="1"/>
  </r>
  <r>
    <n v="12591"/>
    <x v="0"/>
    <x v="0"/>
    <n v="30000"/>
    <x v="5"/>
    <x v="4"/>
    <x v="1"/>
    <s v="Yes"/>
    <n v="0"/>
    <x v="0"/>
    <x v="0"/>
    <x v="12"/>
    <x v="0"/>
  </r>
  <r>
    <n v="24174"/>
    <x v="0"/>
    <x v="1"/>
    <n v="20000"/>
    <x v="3"/>
    <x v="0"/>
    <x v="1"/>
    <s v="Yes"/>
    <n v="0"/>
    <x v="0"/>
    <x v="1"/>
    <x v="40"/>
    <x v="1"/>
  </r>
  <r>
    <n v="24611"/>
    <x v="1"/>
    <x v="1"/>
    <n v="90000"/>
    <x v="3"/>
    <x v="0"/>
    <x v="2"/>
    <s v="No"/>
    <n v="4"/>
    <x v="4"/>
    <x v="1"/>
    <x v="11"/>
    <x v="1"/>
  </r>
  <r>
    <n v="11340"/>
    <x v="0"/>
    <x v="0"/>
    <n v="10000"/>
    <x v="0"/>
    <x v="4"/>
    <x v="1"/>
    <s v="Yes"/>
    <n v="0"/>
    <x v="0"/>
    <x v="0"/>
    <x v="43"/>
    <x v="1"/>
  </r>
  <r>
    <n v="25693"/>
    <x v="1"/>
    <x v="0"/>
    <n v="30000"/>
    <x v="2"/>
    <x v="4"/>
    <x v="1"/>
    <s v="Yes"/>
    <n v="0"/>
    <x v="0"/>
    <x v="0"/>
    <x v="20"/>
    <x v="1"/>
  </r>
  <r>
    <n v="25555"/>
    <x v="0"/>
    <x v="0"/>
    <n v="10000"/>
    <x v="3"/>
    <x v="1"/>
    <x v="3"/>
    <s v="No"/>
    <n v="1"/>
    <x v="0"/>
    <x v="1"/>
    <x v="22"/>
    <x v="1"/>
  </r>
  <r>
    <n v="22006"/>
    <x v="0"/>
    <x v="1"/>
    <n v="70000"/>
    <x v="2"/>
    <x v="1"/>
    <x v="0"/>
    <s v="Yes"/>
    <n v="3"/>
    <x v="2"/>
    <x v="1"/>
    <x v="30"/>
    <x v="0"/>
  </r>
  <r>
    <n v="20060"/>
    <x v="1"/>
    <x v="0"/>
    <n v="30000"/>
    <x v="3"/>
    <x v="2"/>
    <x v="3"/>
    <s v="No"/>
    <n v="1"/>
    <x v="1"/>
    <x v="0"/>
    <x v="17"/>
    <x v="1"/>
  </r>
  <r>
    <n v="17702"/>
    <x v="0"/>
    <x v="1"/>
    <n v="10000"/>
    <x v="0"/>
    <x v="4"/>
    <x v="3"/>
    <s v="Yes"/>
    <n v="0"/>
    <x v="0"/>
    <x v="0"/>
    <x v="34"/>
    <x v="0"/>
  </r>
  <r>
    <n v="12503"/>
    <x v="1"/>
    <x v="0"/>
    <n v="30000"/>
    <x v="1"/>
    <x v="1"/>
    <x v="1"/>
    <s v="Yes"/>
    <n v="2"/>
    <x v="0"/>
    <x v="0"/>
    <x v="40"/>
    <x v="0"/>
  </r>
  <r>
    <n v="23908"/>
    <x v="1"/>
    <x v="1"/>
    <n v="30000"/>
    <x v="0"/>
    <x v="0"/>
    <x v="1"/>
    <s v="No"/>
    <n v="1"/>
    <x v="0"/>
    <x v="0"/>
    <x v="32"/>
    <x v="1"/>
  </r>
  <r>
    <n v="22527"/>
    <x v="1"/>
    <x v="0"/>
    <n v="20000"/>
    <x v="3"/>
    <x v="2"/>
    <x v="3"/>
    <s v="No"/>
    <n v="1"/>
    <x v="1"/>
    <x v="0"/>
    <x v="19"/>
    <x v="0"/>
  </r>
  <r>
    <n v="19057"/>
    <x v="0"/>
    <x v="0"/>
    <n v="120000"/>
    <x v="1"/>
    <x v="0"/>
    <x v="4"/>
    <s v="No"/>
    <n v="2"/>
    <x v="4"/>
    <x v="0"/>
    <x v="31"/>
    <x v="1"/>
  </r>
  <r>
    <n v="18494"/>
    <x v="0"/>
    <x v="1"/>
    <n v="110000"/>
    <x v="2"/>
    <x v="0"/>
    <x v="4"/>
    <s v="Yes"/>
    <n v="4"/>
    <x v="1"/>
    <x v="1"/>
    <x v="28"/>
    <x v="1"/>
  </r>
  <r>
    <n v="11249"/>
    <x v="0"/>
    <x v="0"/>
    <n v="130000"/>
    <x v="1"/>
    <x v="1"/>
    <x v="2"/>
    <s v="Yes"/>
    <n v="3"/>
    <x v="0"/>
    <x v="0"/>
    <x v="36"/>
    <x v="1"/>
  </r>
  <r>
    <n v="21568"/>
    <x v="0"/>
    <x v="0"/>
    <n v="100000"/>
    <x v="3"/>
    <x v="2"/>
    <x v="4"/>
    <s v="Yes"/>
    <n v="4"/>
    <x v="4"/>
    <x v="1"/>
    <x v="17"/>
    <x v="1"/>
  </r>
  <r>
    <n v="13981"/>
    <x v="0"/>
    <x v="0"/>
    <n v="10000"/>
    <x v="2"/>
    <x v="2"/>
    <x v="0"/>
    <s v="No"/>
    <n v="3"/>
    <x v="3"/>
    <x v="1"/>
    <x v="24"/>
    <x v="0"/>
  </r>
  <r>
    <n v="23432"/>
    <x v="1"/>
    <x v="1"/>
    <n v="70000"/>
    <x v="3"/>
    <x v="0"/>
    <x v="2"/>
    <s v="Yes"/>
    <n v="1"/>
    <x v="2"/>
    <x v="1"/>
    <x v="34"/>
    <x v="1"/>
  </r>
  <r>
    <n v="22931"/>
    <x v="0"/>
    <x v="1"/>
    <n v="100000"/>
    <x v="2"/>
    <x v="4"/>
    <x v="4"/>
    <s v="No"/>
    <n v="1"/>
    <x v="3"/>
    <x v="1"/>
    <x v="44"/>
    <x v="1"/>
  </r>
  <r>
    <n v="18172"/>
    <x v="0"/>
    <x v="1"/>
    <n v="130000"/>
    <x v="5"/>
    <x v="2"/>
    <x v="2"/>
    <s v="Yes"/>
    <n v="3"/>
    <x v="0"/>
    <x v="0"/>
    <x v="10"/>
    <x v="0"/>
  </r>
  <r>
    <n v="12666"/>
    <x v="1"/>
    <x v="1"/>
    <n v="60000"/>
    <x v="3"/>
    <x v="0"/>
    <x v="2"/>
    <s v="No"/>
    <n v="4"/>
    <x v="1"/>
    <x v="1"/>
    <x v="23"/>
    <x v="0"/>
  </r>
  <r>
    <n v="20598"/>
    <x v="0"/>
    <x v="1"/>
    <n v="100000"/>
    <x v="1"/>
    <x v="3"/>
    <x v="2"/>
    <s v="Yes"/>
    <n v="0"/>
    <x v="4"/>
    <x v="0"/>
    <x v="14"/>
    <x v="1"/>
  </r>
  <r>
    <n v="21375"/>
    <x v="1"/>
    <x v="1"/>
    <n v="20000"/>
    <x v="4"/>
    <x v="3"/>
    <x v="1"/>
    <s v="Yes"/>
    <n v="2"/>
    <x v="2"/>
    <x v="1"/>
    <x v="42"/>
    <x v="0"/>
  </r>
  <r>
    <n v="20839"/>
    <x v="1"/>
    <x v="0"/>
    <n v="30000"/>
    <x v="1"/>
    <x v="4"/>
    <x v="1"/>
    <s v="Yes"/>
    <n v="0"/>
    <x v="0"/>
    <x v="0"/>
    <x v="15"/>
    <x v="1"/>
  </r>
  <r>
    <n v="21738"/>
    <x v="0"/>
    <x v="1"/>
    <n v="20000"/>
    <x v="0"/>
    <x v="4"/>
    <x v="1"/>
    <s v="Yes"/>
    <n v="0"/>
    <x v="0"/>
    <x v="0"/>
    <x v="1"/>
    <x v="0"/>
  </r>
  <r>
    <n v="14164"/>
    <x v="1"/>
    <x v="0"/>
    <n v="50000"/>
    <x v="3"/>
    <x v="4"/>
    <x v="0"/>
    <s v="Yes"/>
    <n v="0"/>
    <x v="0"/>
    <x v="0"/>
    <x v="4"/>
    <x v="1"/>
  </r>
  <r>
    <n v="14193"/>
    <x v="1"/>
    <x v="0"/>
    <n v="100000"/>
    <x v="1"/>
    <x v="1"/>
    <x v="4"/>
    <s v="Yes"/>
    <n v="4"/>
    <x v="4"/>
    <x v="0"/>
    <x v="16"/>
    <x v="0"/>
  </r>
  <r>
    <n v="12705"/>
    <x v="0"/>
    <x v="1"/>
    <n v="150000"/>
    <x v="3"/>
    <x v="0"/>
    <x v="4"/>
    <s v="Yes"/>
    <n v="4"/>
    <x v="0"/>
    <x v="1"/>
    <x v="34"/>
    <x v="1"/>
  </r>
  <r>
    <n v="22672"/>
    <x v="1"/>
    <x v="0"/>
    <n v="30000"/>
    <x v="4"/>
    <x v="1"/>
    <x v="1"/>
    <s v="Yes"/>
    <n v="0"/>
    <x v="0"/>
    <x v="0"/>
    <x v="1"/>
    <x v="0"/>
  </r>
  <r>
    <n v="26219"/>
    <x v="0"/>
    <x v="0"/>
    <n v="40000"/>
    <x v="0"/>
    <x v="0"/>
    <x v="0"/>
    <s v="Yes"/>
    <n v="1"/>
    <x v="3"/>
    <x v="0"/>
    <x v="6"/>
    <x v="1"/>
  </r>
  <r>
    <n v="28468"/>
    <x v="0"/>
    <x v="0"/>
    <n v="10000"/>
    <x v="4"/>
    <x v="1"/>
    <x v="3"/>
    <s v="Yes"/>
    <n v="0"/>
    <x v="3"/>
    <x v="0"/>
    <x v="36"/>
    <x v="0"/>
  </r>
  <r>
    <n v="23419"/>
    <x v="1"/>
    <x v="0"/>
    <n v="70000"/>
    <x v="2"/>
    <x v="0"/>
    <x v="2"/>
    <s v="Yes"/>
    <n v="3"/>
    <x v="4"/>
    <x v="1"/>
    <x v="32"/>
    <x v="0"/>
  </r>
  <r>
    <n v="17964"/>
    <x v="0"/>
    <x v="1"/>
    <n v="40000"/>
    <x v="3"/>
    <x v="4"/>
    <x v="1"/>
    <s v="Yes"/>
    <n v="0"/>
    <x v="0"/>
    <x v="0"/>
    <x v="34"/>
    <x v="1"/>
  </r>
  <r>
    <n v="20919"/>
    <x v="1"/>
    <x v="0"/>
    <n v="30000"/>
    <x v="4"/>
    <x v="1"/>
    <x v="1"/>
    <s v="Yes"/>
    <n v="2"/>
    <x v="0"/>
    <x v="0"/>
    <x v="0"/>
    <x v="0"/>
  </r>
  <r>
    <n v="20927"/>
    <x v="1"/>
    <x v="0"/>
    <n v="20000"/>
    <x v="2"/>
    <x v="2"/>
    <x v="3"/>
    <s v="Yes"/>
    <n v="2"/>
    <x v="0"/>
    <x v="0"/>
    <x v="40"/>
    <x v="0"/>
  </r>
  <r>
    <n v="13133"/>
    <x v="1"/>
    <x v="1"/>
    <n v="100000"/>
    <x v="2"/>
    <x v="0"/>
    <x v="2"/>
    <s v="Yes"/>
    <n v="1"/>
    <x v="2"/>
    <x v="1"/>
    <x v="15"/>
    <x v="1"/>
  </r>
  <r>
    <n v="19626"/>
    <x v="0"/>
    <x v="1"/>
    <n v="70000"/>
    <x v="2"/>
    <x v="1"/>
    <x v="0"/>
    <s v="Yes"/>
    <n v="3"/>
    <x v="2"/>
    <x v="1"/>
    <x v="12"/>
    <x v="0"/>
  </r>
  <r>
    <n v="21039"/>
    <x v="1"/>
    <x v="0"/>
    <n v="50000"/>
    <x v="3"/>
    <x v="4"/>
    <x v="0"/>
    <s v="No"/>
    <n v="0"/>
    <x v="0"/>
    <x v="0"/>
    <x v="34"/>
    <x v="1"/>
  </r>
  <r>
    <n v="12231"/>
    <x v="1"/>
    <x v="0"/>
    <n v="10000"/>
    <x v="4"/>
    <x v="1"/>
    <x v="3"/>
    <s v="Yes"/>
    <n v="0"/>
    <x v="0"/>
    <x v="0"/>
    <x v="36"/>
    <x v="1"/>
  </r>
  <r>
    <n v="25665"/>
    <x v="1"/>
    <x v="0"/>
    <n v="20000"/>
    <x v="3"/>
    <x v="2"/>
    <x v="3"/>
    <s v="No"/>
    <n v="1"/>
    <x v="3"/>
    <x v="0"/>
    <x v="26"/>
    <x v="0"/>
  </r>
  <r>
    <n v="24061"/>
    <x v="0"/>
    <x v="1"/>
    <n v="10000"/>
    <x v="5"/>
    <x v="3"/>
    <x v="3"/>
    <s v="Yes"/>
    <n v="1"/>
    <x v="0"/>
    <x v="0"/>
    <x v="8"/>
    <x v="1"/>
  </r>
  <r>
    <n v="26879"/>
    <x v="1"/>
    <x v="0"/>
    <n v="20000"/>
    <x v="3"/>
    <x v="2"/>
    <x v="3"/>
    <s v="No"/>
    <n v="1"/>
    <x v="1"/>
    <x v="0"/>
    <x v="25"/>
    <x v="0"/>
  </r>
  <r>
    <n v="12284"/>
    <x v="0"/>
    <x v="0"/>
    <n v="30000"/>
    <x v="3"/>
    <x v="0"/>
    <x v="1"/>
    <s v="No"/>
    <n v="0"/>
    <x v="0"/>
    <x v="0"/>
    <x v="4"/>
    <x v="1"/>
  </r>
  <r>
    <n v="26654"/>
    <x v="0"/>
    <x v="0"/>
    <n v="90000"/>
    <x v="0"/>
    <x v="4"/>
    <x v="4"/>
    <s v="Yes"/>
    <n v="0"/>
    <x v="0"/>
    <x v="1"/>
    <x v="34"/>
    <x v="1"/>
  </r>
  <r>
    <n v="14545"/>
    <x v="0"/>
    <x v="0"/>
    <n v="10000"/>
    <x v="4"/>
    <x v="1"/>
    <x v="3"/>
    <s v="Yes"/>
    <n v="0"/>
    <x v="3"/>
    <x v="0"/>
    <x v="38"/>
    <x v="0"/>
  </r>
  <r>
    <n v="24201"/>
    <x v="0"/>
    <x v="0"/>
    <n v="10000"/>
    <x v="4"/>
    <x v="2"/>
    <x v="3"/>
    <s v="Yes"/>
    <n v="0"/>
    <x v="0"/>
    <x v="0"/>
    <x v="34"/>
    <x v="1"/>
  </r>
  <r>
    <n v="20625"/>
    <x v="0"/>
    <x v="1"/>
    <n v="100000"/>
    <x v="3"/>
    <x v="2"/>
    <x v="4"/>
    <s v="Yes"/>
    <n v="3"/>
    <x v="4"/>
    <x v="1"/>
    <x v="11"/>
    <x v="1"/>
  </r>
  <r>
    <n v="16390"/>
    <x v="1"/>
    <x v="1"/>
    <n v="30000"/>
    <x v="0"/>
    <x v="0"/>
    <x v="1"/>
    <s v="No"/>
    <n v="0"/>
    <x v="0"/>
    <x v="0"/>
    <x v="13"/>
    <x v="1"/>
  </r>
  <r>
    <n v="14804"/>
    <x v="1"/>
    <x v="0"/>
    <n v="10000"/>
    <x v="1"/>
    <x v="3"/>
    <x v="3"/>
    <s v="Yes"/>
    <n v="2"/>
    <x v="0"/>
    <x v="0"/>
    <x v="1"/>
    <x v="0"/>
  </r>
  <r>
    <n v="12629"/>
    <x v="1"/>
    <x v="1"/>
    <n v="20000"/>
    <x v="0"/>
    <x v="1"/>
    <x v="3"/>
    <s v="No"/>
    <n v="0"/>
    <x v="0"/>
    <x v="0"/>
    <x v="34"/>
    <x v="0"/>
  </r>
  <r>
    <n v="14696"/>
    <x v="1"/>
    <x v="1"/>
    <n v="10000"/>
    <x v="3"/>
    <x v="3"/>
    <x v="3"/>
    <s v="No"/>
    <n v="2"/>
    <x v="0"/>
    <x v="0"/>
    <x v="17"/>
    <x v="0"/>
  </r>
  <r>
    <n v="22005"/>
    <x v="0"/>
    <x v="0"/>
    <n v="70000"/>
    <x v="2"/>
    <x v="1"/>
    <x v="0"/>
    <s v="No"/>
    <n v="3"/>
    <x v="2"/>
    <x v="1"/>
    <x v="30"/>
    <x v="0"/>
  </r>
  <r>
    <n v="14544"/>
    <x v="1"/>
    <x v="1"/>
    <n v="10000"/>
    <x v="0"/>
    <x v="1"/>
    <x v="3"/>
    <s v="Yes"/>
    <n v="0"/>
    <x v="0"/>
    <x v="0"/>
    <x v="38"/>
    <x v="0"/>
  </r>
  <r>
    <n v="14312"/>
    <x v="0"/>
    <x v="0"/>
    <n v="60000"/>
    <x v="0"/>
    <x v="1"/>
    <x v="0"/>
    <s v="Yes"/>
    <n v="1"/>
    <x v="2"/>
    <x v="1"/>
    <x v="12"/>
    <x v="0"/>
  </r>
  <r>
    <n v="29120"/>
    <x v="1"/>
    <x v="0"/>
    <n v="100000"/>
    <x v="0"/>
    <x v="0"/>
    <x v="4"/>
    <s v="Yes"/>
    <n v="4"/>
    <x v="1"/>
    <x v="1"/>
    <x v="28"/>
    <x v="0"/>
  </r>
  <r>
    <n v="24187"/>
    <x v="1"/>
    <x v="0"/>
    <n v="30000"/>
    <x v="1"/>
    <x v="4"/>
    <x v="1"/>
    <s v="No"/>
    <n v="0"/>
    <x v="0"/>
    <x v="0"/>
    <x v="30"/>
    <x v="1"/>
  </r>
  <r>
    <n v="15758"/>
    <x v="0"/>
    <x v="1"/>
    <n v="130000"/>
    <x v="3"/>
    <x v="4"/>
    <x v="4"/>
    <s v="Yes"/>
    <n v="0"/>
    <x v="2"/>
    <x v="1"/>
    <x v="28"/>
    <x v="0"/>
  </r>
  <r>
    <n v="29094"/>
    <x v="0"/>
    <x v="1"/>
    <n v="30000"/>
    <x v="1"/>
    <x v="2"/>
    <x v="0"/>
    <s v="Yes"/>
    <n v="2"/>
    <x v="2"/>
    <x v="1"/>
    <x v="9"/>
    <x v="1"/>
  </r>
  <r>
    <n v="28319"/>
    <x v="1"/>
    <x v="0"/>
    <n v="60000"/>
    <x v="0"/>
    <x v="1"/>
    <x v="0"/>
    <s v="No"/>
    <n v="1"/>
    <x v="0"/>
    <x v="1"/>
    <x v="30"/>
    <x v="1"/>
  </r>
  <r>
    <n v="16406"/>
    <x v="0"/>
    <x v="1"/>
    <n v="40000"/>
    <x v="3"/>
    <x v="0"/>
    <x v="1"/>
    <s v="No"/>
    <n v="0"/>
    <x v="0"/>
    <x v="0"/>
    <x v="13"/>
    <x v="1"/>
  </r>
  <r>
    <n v="20923"/>
    <x v="0"/>
    <x v="0"/>
    <n v="40000"/>
    <x v="0"/>
    <x v="0"/>
    <x v="0"/>
    <s v="Yes"/>
    <n v="0"/>
    <x v="0"/>
    <x v="0"/>
    <x v="0"/>
    <x v="1"/>
  </r>
  <r>
    <n v="11378"/>
    <x v="1"/>
    <x v="0"/>
    <n v="10000"/>
    <x v="0"/>
    <x v="2"/>
    <x v="3"/>
    <s v="No"/>
    <n v="1"/>
    <x v="1"/>
    <x v="0"/>
    <x v="30"/>
    <x v="1"/>
  </r>
  <r>
    <n v="20851"/>
    <x v="1"/>
    <x v="1"/>
    <n v="20000"/>
    <x v="3"/>
    <x v="1"/>
    <x v="3"/>
    <s v="No"/>
    <n v="1"/>
    <x v="1"/>
    <x v="0"/>
    <x v="4"/>
    <x v="1"/>
  </r>
  <r>
    <n v="21557"/>
    <x v="1"/>
    <x v="0"/>
    <n v="110000"/>
    <x v="3"/>
    <x v="1"/>
    <x v="4"/>
    <s v="Yes"/>
    <n v="3"/>
    <x v="4"/>
    <x v="1"/>
    <x v="21"/>
    <x v="1"/>
  </r>
  <r>
    <n v="26663"/>
    <x v="1"/>
    <x v="0"/>
    <n v="60000"/>
    <x v="4"/>
    <x v="0"/>
    <x v="2"/>
    <s v="No"/>
    <n v="1"/>
    <x v="0"/>
    <x v="1"/>
    <x v="32"/>
    <x v="1"/>
  </r>
  <r>
    <n v="11896"/>
    <x v="0"/>
    <x v="1"/>
    <n v="100000"/>
    <x v="0"/>
    <x v="4"/>
    <x v="4"/>
    <s v="Yes"/>
    <n v="0"/>
    <x v="1"/>
    <x v="1"/>
    <x v="4"/>
    <x v="1"/>
  </r>
  <r>
    <n v="14189"/>
    <x v="0"/>
    <x v="0"/>
    <n v="90000"/>
    <x v="5"/>
    <x v="2"/>
    <x v="2"/>
    <s v="No"/>
    <n v="2"/>
    <x v="1"/>
    <x v="0"/>
    <x v="9"/>
    <x v="1"/>
  </r>
  <r>
    <n v="13136"/>
    <x v="0"/>
    <x v="0"/>
    <n v="30000"/>
    <x v="4"/>
    <x v="1"/>
    <x v="1"/>
    <s v="No"/>
    <n v="2"/>
    <x v="2"/>
    <x v="1"/>
    <x v="45"/>
    <x v="0"/>
  </r>
  <r>
    <n v="25906"/>
    <x v="1"/>
    <x v="0"/>
    <n v="10000"/>
    <x v="2"/>
    <x v="2"/>
    <x v="0"/>
    <s v="No"/>
    <n v="2"/>
    <x v="3"/>
    <x v="1"/>
    <x v="24"/>
    <x v="0"/>
  </r>
  <r>
    <n v="17926"/>
    <x v="1"/>
    <x v="0"/>
    <n v="40000"/>
    <x v="3"/>
    <x v="0"/>
    <x v="1"/>
    <s v="No"/>
    <n v="0"/>
    <x v="0"/>
    <x v="1"/>
    <x v="26"/>
    <x v="1"/>
  </r>
  <r>
    <n v="26928"/>
    <x v="1"/>
    <x v="1"/>
    <n v="30000"/>
    <x v="0"/>
    <x v="0"/>
    <x v="1"/>
    <s v="Yes"/>
    <n v="0"/>
    <x v="0"/>
    <x v="0"/>
    <x v="24"/>
    <x v="1"/>
  </r>
  <r>
    <n v="20897"/>
    <x v="0"/>
    <x v="0"/>
    <n v="30000"/>
    <x v="0"/>
    <x v="0"/>
    <x v="0"/>
    <s v="Yes"/>
    <n v="2"/>
    <x v="0"/>
    <x v="0"/>
    <x v="8"/>
    <x v="0"/>
  </r>
  <r>
    <n v="28207"/>
    <x v="0"/>
    <x v="1"/>
    <n v="80000"/>
    <x v="5"/>
    <x v="4"/>
    <x v="4"/>
    <s v="Yes"/>
    <n v="1"/>
    <x v="0"/>
    <x v="1"/>
    <x v="4"/>
    <x v="1"/>
  </r>
  <r>
    <n v="25923"/>
    <x v="1"/>
    <x v="1"/>
    <n v="10000"/>
    <x v="4"/>
    <x v="3"/>
    <x v="1"/>
    <s v="Yes"/>
    <n v="2"/>
    <x v="2"/>
    <x v="1"/>
    <x v="7"/>
    <x v="0"/>
  </r>
  <r>
    <n v="11000"/>
    <x v="0"/>
    <x v="1"/>
    <n v="90000"/>
    <x v="4"/>
    <x v="0"/>
    <x v="2"/>
    <s v="Yes"/>
    <n v="0"/>
    <x v="3"/>
    <x v="1"/>
    <x v="8"/>
    <x v="1"/>
  </r>
  <r>
    <n v="20974"/>
    <x v="0"/>
    <x v="1"/>
    <n v="10000"/>
    <x v="4"/>
    <x v="0"/>
    <x v="1"/>
    <s v="Yes"/>
    <n v="1"/>
    <x v="0"/>
    <x v="0"/>
    <x v="29"/>
    <x v="0"/>
  </r>
  <r>
    <n v="28758"/>
    <x v="0"/>
    <x v="1"/>
    <n v="40000"/>
    <x v="4"/>
    <x v="1"/>
    <x v="1"/>
    <s v="Yes"/>
    <n v="1"/>
    <x v="3"/>
    <x v="0"/>
    <x v="11"/>
    <x v="1"/>
  </r>
  <r>
    <n v="11381"/>
    <x v="0"/>
    <x v="0"/>
    <n v="20000"/>
    <x v="4"/>
    <x v="1"/>
    <x v="3"/>
    <s v="Yes"/>
    <n v="1"/>
    <x v="1"/>
    <x v="0"/>
    <x v="15"/>
    <x v="1"/>
  </r>
  <r>
    <n v="17522"/>
    <x v="0"/>
    <x v="1"/>
    <n v="120000"/>
    <x v="5"/>
    <x v="0"/>
    <x v="4"/>
    <s v="Yes"/>
    <n v="1"/>
    <x v="1"/>
    <x v="1"/>
    <x v="15"/>
    <x v="0"/>
  </r>
  <r>
    <n v="21207"/>
    <x v="0"/>
    <x v="1"/>
    <n v="60000"/>
    <x v="0"/>
    <x v="1"/>
    <x v="0"/>
    <s v="Yes"/>
    <n v="1"/>
    <x v="2"/>
    <x v="1"/>
    <x v="30"/>
    <x v="0"/>
  </r>
  <r>
    <n v="28102"/>
    <x v="0"/>
    <x v="1"/>
    <n v="20000"/>
    <x v="5"/>
    <x v="2"/>
    <x v="0"/>
    <s v="Yes"/>
    <n v="2"/>
    <x v="2"/>
    <x v="1"/>
    <x v="7"/>
    <x v="1"/>
  </r>
  <r>
    <n v="23105"/>
    <x v="1"/>
    <x v="1"/>
    <n v="40000"/>
    <x v="1"/>
    <x v="3"/>
    <x v="1"/>
    <s v="No"/>
    <n v="2"/>
    <x v="2"/>
    <x v="1"/>
    <x v="31"/>
    <x v="1"/>
  </r>
  <r>
    <n v="18740"/>
    <x v="0"/>
    <x v="1"/>
    <n v="80000"/>
    <x v="2"/>
    <x v="0"/>
    <x v="2"/>
    <s v="No"/>
    <n v="1"/>
    <x v="0"/>
    <x v="1"/>
    <x v="15"/>
    <x v="1"/>
  </r>
  <r>
    <n v="21213"/>
    <x v="1"/>
    <x v="1"/>
    <n v="70000"/>
    <x v="3"/>
    <x v="0"/>
    <x v="2"/>
    <s v="No"/>
    <n v="1"/>
    <x v="2"/>
    <x v="1"/>
    <x v="3"/>
    <x v="0"/>
  </r>
  <r>
    <n v="17352"/>
    <x v="0"/>
    <x v="1"/>
    <n v="50000"/>
    <x v="4"/>
    <x v="4"/>
    <x v="4"/>
    <s v="Yes"/>
    <n v="1"/>
    <x v="2"/>
    <x v="1"/>
    <x v="46"/>
    <x v="1"/>
  </r>
  <r>
    <n v="14154"/>
    <x v="0"/>
    <x v="1"/>
    <n v="30000"/>
    <x v="3"/>
    <x v="0"/>
    <x v="1"/>
    <s v="Yes"/>
    <n v="0"/>
    <x v="0"/>
    <x v="0"/>
    <x v="11"/>
    <x v="1"/>
  </r>
  <r>
    <n v="19066"/>
    <x v="0"/>
    <x v="1"/>
    <n v="130000"/>
    <x v="5"/>
    <x v="1"/>
    <x v="2"/>
    <s v="No"/>
    <n v="3"/>
    <x v="4"/>
    <x v="0"/>
    <x v="9"/>
    <x v="0"/>
  </r>
  <r>
    <n v="11386"/>
    <x v="0"/>
    <x v="0"/>
    <n v="30000"/>
    <x v="1"/>
    <x v="0"/>
    <x v="1"/>
    <s v="Yes"/>
    <n v="0"/>
    <x v="0"/>
    <x v="0"/>
    <x v="12"/>
    <x v="0"/>
  </r>
  <r>
    <n v="20228"/>
    <x v="0"/>
    <x v="1"/>
    <n v="100000"/>
    <x v="3"/>
    <x v="4"/>
    <x v="4"/>
    <s v="Yes"/>
    <n v="0"/>
    <x v="1"/>
    <x v="1"/>
    <x v="8"/>
    <x v="1"/>
  </r>
  <r>
    <n v="16675"/>
    <x v="1"/>
    <x v="0"/>
    <n v="160000"/>
    <x v="3"/>
    <x v="4"/>
    <x v="4"/>
    <s v="No"/>
    <n v="3"/>
    <x v="0"/>
    <x v="1"/>
    <x v="15"/>
    <x v="1"/>
  </r>
  <r>
    <n v="16410"/>
    <x v="1"/>
    <x v="0"/>
    <n v="10000"/>
    <x v="5"/>
    <x v="3"/>
    <x v="3"/>
    <s v="Yes"/>
    <n v="2"/>
    <x v="0"/>
    <x v="0"/>
    <x v="3"/>
    <x v="1"/>
  </r>
  <r>
    <n v="27760"/>
    <x v="1"/>
    <x v="0"/>
    <n v="40000"/>
    <x v="3"/>
    <x v="4"/>
    <x v="1"/>
    <s v="No"/>
    <n v="0"/>
    <x v="0"/>
    <x v="0"/>
    <x v="34"/>
    <x v="1"/>
  </r>
  <r>
    <n v="22930"/>
    <x v="0"/>
    <x v="1"/>
    <n v="90000"/>
    <x v="5"/>
    <x v="0"/>
    <x v="2"/>
    <s v="Yes"/>
    <n v="0"/>
    <x v="3"/>
    <x v="1"/>
    <x v="13"/>
    <x v="1"/>
  </r>
  <r>
    <n v="23780"/>
    <x v="1"/>
    <x v="1"/>
    <n v="40000"/>
    <x v="4"/>
    <x v="1"/>
    <x v="1"/>
    <s v="No"/>
    <n v="2"/>
    <x v="0"/>
    <x v="0"/>
    <x v="4"/>
    <x v="1"/>
  </r>
  <r>
    <n v="20994"/>
    <x v="0"/>
    <x v="0"/>
    <n v="20000"/>
    <x v="3"/>
    <x v="0"/>
    <x v="1"/>
    <s v="No"/>
    <n v="0"/>
    <x v="0"/>
    <x v="1"/>
    <x v="22"/>
    <x v="1"/>
  </r>
  <r>
    <n v="28379"/>
    <x v="0"/>
    <x v="1"/>
    <n v="30000"/>
    <x v="0"/>
    <x v="0"/>
    <x v="0"/>
    <s v="Yes"/>
    <n v="2"/>
    <x v="0"/>
    <x v="0"/>
    <x v="8"/>
    <x v="0"/>
  </r>
  <r>
    <n v="14865"/>
    <x v="1"/>
    <x v="1"/>
    <n v="40000"/>
    <x v="4"/>
    <x v="1"/>
    <x v="1"/>
    <s v="Yes"/>
    <n v="2"/>
    <x v="3"/>
    <x v="0"/>
    <x v="4"/>
    <x v="0"/>
  </r>
  <r>
    <n v="12663"/>
    <x v="0"/>
    <x v="0"/>
    <n v="90000"/>
    <x v="2"/>
    <x v="3"/>
    <x v="0"/>
    <s v="Yes"/>
    <n v="2"/>
    <x v="4"/>
    <x v="0"/>
    <x v="14"/>
    <x v="0"/>
  </r>
  <r>
    <n v="24898"/>
    <x v="1"/>
    <x v="0"/>
    <n v="80000"/>
    <x v="3"/>
    <x v="0"/>
    <x v="2"/>
    <s v="Yes"/>
    <n v="3"/>
    <x v="4"/>
    <x v="1"/>
    <x v="21"/>
    <x v="0"/>
  </r>
  <r>
    <n v="19508"/>
    <x v="0"/>
    <x v="1"/>
    <n v="10000"/>
    <x v="3"/>
    <x v="3"/>
    <x v="3"/>
    <s v="No"/>
    <n v="2"/>
    <x v="0"/>
    <x v="0"/>
    <x v="25"/>
    <x v="0"/>
  </r>
  <r>
    <n v="11489"/>
    <x v="1"/>
    <x v="0"/>
    <n v="20000"/>
    <x v="3"/>
    <x v="3"/>
    <x v="3"/>
    <s v="No"/>
    <n v="2"/>
    <x v="3"/>
    <x v="0"/>
    <x v="11"/>
    <x v="1"/>
  </r>
  <r>
    <n v="18160"/>
    <x v="0"/>
    <x v="1"/>
    <n v="130000"/>
    <x v="1"/>
    <x v="2"/>
    <x v="2"/>
    <s v="Yes"/>
    <n v="4"/>
    <x v="2"/>
    <x v="0"/>
    <x v="36"/>
    <x v="1"/>
  </r>
  <r>
    <n v="25241"/>
    <x v="0"/>
    <x v="1"/>
    <n v="90000"/>
    <x v="4"/>
    <x v="0"/>
    <x v="2"/>
    <s v="Yes"/>
    <n v="1"/>
    <x v="2"/>
    <x v="1"/>
    <x v="15"/>
    <x v="0"/>
  </r>
  <r>
    <n v="24369"/>
    <x v="0"/>
    <x v="1"/>
    <n v="80000"/>
    <x v="2"/>
    <x v="4"/>
    <x v="4"/>
    <s v="No"/>
    <n v="2"/>
    <x v="0"/>
    <x v="1"/>
    <x v="32"/>
    <x v="0"/>
  </r>
  <r>
    <n v="27165"/>
    <x v="1"/>
    <x v="1"/>
    <n v="20000"/>
    <x v="3"/>
    <x v="3"/>
    <x v="3"/>
    <s v="No"/>
    <n v="2"/>
    <x v="0"/>
    <x v="0"/>
    <x v="17"/>
    <x v="0"/>
  </r>
  <r>
    <n v="29424"/>
    <x v="0"/>
    <x v="1"/>
    <n v="10000"/>
    <x v="3"/>
    <x v="3"/>
    <x v="3"/>
    <s v="Yes"/>
    <n v="2"/>
    <x v="0"/>
    <x v="0"/>
    <x v="21"/>
    <x v="0"/>
  </r>
  <r>
    <n v="15926"/>
    <x v="1"/>
    <x v="0"/>
    <n v="120000"/>
    <x v="1"/>
    <x v="2"/>
    <x v="2"/>
    <s v="Yes"/>
    <n v="4"/>
    <x v="2"/>
    <x v="0"/>
    <x v="5"/>
    <x v="1"/>
  </r>
  <r>
    <n v="14554"/>
    <x v="0"/>
    <x v="1"/>
    <n v="20000"/>
    <x v="0"/>
    <x v="0"/>
    <x v="1"/>
    <s v="Yes"/>
    <n v="0"/>
    <x v="0"/>
    <x v="0"/>
    <x v="29"/>
    <x v="0"/>
  </r>
  <r>
    <n v="16468"/>
    <x v="1"/>
    <x v="1"/>
    <n v="30000"/>
    <x v="3"/>
    <x v="1"/>
    <x v="1"/>
    <s v="Yes"/>
    <n v="1"/>
    <x v="1"/>
    <x v="0"/>
    <x v="25"/>
    <x v="0"/>
  </r>
  <r>
    <n v="19174"/>
    <x v="1"/>
    <x v="0"/>
    <n v="30000"/>
    <x v="3"/>
    <x v="2"/>
    <x v="3"/>
    <s v="No"/>
    <n v="1"/>
    <x v="1"/>
    <x v="0"/>
    <x v="21"/>
    <x v="1"/>
  </r>
  <r>
    <n v="19183"/>
    <x v="1"/>
    <x v="1"/>
    <n v="10000"/>
    <x v="3"/>
    <x v="3"/>
    <x v="3"/>
    <s v="Yes"/>
    <n v="2"/>
    <x v="3"/>
    <x v="0"/>
    <x v="11"/>
    <x v="0"/>
  </r>
  <r>
    <n v="13683"/>
    <x v="1"/>
    <x v="0"/>
    <n v="30000"/>
    <x v="3"/>
    <x v="2"/>
    <x v="3"/>
    <s v="No"/>
    <n v="1"/>
    <x v="1"/>
    <x v="0"/>
    <x v="21"/>
    <x v="0"/>
  </r>
  <r>
    <n v="17848"/>
    <x v="1"/>
    <x v="1"/>
    <n v="30000"/>
    <x v="3"/>
    <x v="1"/>
    <x v="1"/>
    <s v="No"/>
    <n v="1"/>
    <x v="1"/>
    <x v="0"/>
    <x v="23"/>
    <x v="1"/>
  </r>
  <r>
    <n v="17894"/>
    <x v="0"/>
    <x v="0"/>
    <n v="20000"/>
    <x v="0"/>
    <x v="0"/>
    <x v="1"/>
    <s v="Yes"/>
    <n v="0"/>
    <x v="0"/>
    <x v="0"/>
    <x v="5"/>
    <x v="1"/>
  </r>
  <r>
    <n v="25651"/>
    <x v="0"/>
    <x v="1"/>
    <n v="40000"/>
    <x v="0"/>
    <x v="0"/>
    <x v="0"/>
    <s v="No"/>
    <n v="0"/>
    <x v="0"/>
    <x v="0"/>
    <x v="1"/>
    <x v="1"/>
  </r>
  <r>
    <n v="22936"/>
    <x v="1"/>
    <x v="0"/>
    <n v="60000"/>
    <x v="0"/>
    <x v="1"/>
    <x v="0"/>
    <s v="No"/>
    <n v="1"/>
    <x v="0"/>
    <x v="1"/>
    <x v="12"/>
    <x v="1"/>
  </r>
  <r>
    <n v="23915"/>
    <x v="0"/>
    <x v="1"/>
    <n v="20000"/>
    <x v="4"/>
    <x v="2"/>
    <x v="3"/>
    <s v="Yes"/>
    <n v="2"/>
    <x v="0"/>
    <x v="0"/>
    <x v="0"/>
    <x v="0"/>
  </r>
  <r>
    <n v="24121"/>
    <x v="1"/>
    <x v="0"/>
    <n v="30000"/>
    <x v="3"/>
    <x v="1"/>
    <x v="1"/>
    <s v="No"/>
    <n v="1"/>
    <x v="0"/>
    <x v="0"/>
    <x v="19"/>
    <x v="1"/>
  </r>
  <r>
    <n v="27878"/>
    <x v="1"/>
    <x v="1"/>
    <n v="20000"/>
    <x v="3"/>
    <x v="1"/>
    <x v="3"/>
    <s v="No"/>
    <n v="0"/>
    <x v="0"/>
    <x v="1"/>
    <x v="26"/>
    <x v="1"/>
  </r>
  <r>
    <n v="13572"/>
    <x v="1"/>
    <x v="1"/>
    <n v="10000"/>
    <x v="1"/>
    <x v="2"/>
    <x v="3"/>
    <s v="Yes"/>
    <n v="0"/>
    <x v="0"/>
    <x v="0"/>
    <x v="34"/>
    <x v="1"/>
  </r>
  <r>
    <n v="27941"/>
    <x v="0"/>
    <x v="0"/>
    <n v="80000"/>
    <x v="5"/>
    <x v="1"/>
    <x v="2"/>
    <s v="Yes"/>
    <n v="2"/>
    <x v="1"/>
    <x v="0"/>
    <x v="39"/>
    <x v="0"/>
  </r>
  <r>
    <n v="26354"/>
    <x v="1"/>
    <x v="1"/>
    <n v="40000"/>
    <x v="3"/>
    <x v="4"/>
    <x v="1"/>
    <s v="No"/>
    <n v="0"/>
    <x v="0"/>
    <x v="0"/>
    <x v="13"/>
    <x v="1"/>
  </r>
  <r>
    <n v="14785"/>
    <x v="1"/>
    <x v="1"/>
    <n v="30000"/>
    <x v="0"/>
    <x v="0"/>
    <x v="1"/>
    <s v="No"/>
    <n v="1"/>
    <x v="3"/>
    <x v="0"/>
    <x v="32"/>
    <x v="0"/>
  </r>
  <r>
    <n v="17238"/>
    <x v="1"/>
    <x v="1"/>
    <n v="80000"/>
    <x v="3"/>
    <x v="0"/>
    <x v="2"/>
    <s v="Yes"/>
    <n v="3"/>
    <x v="4"/>
    <x v="1"/>
    <x v="21"/>
    <x v="0"/>
  </r>
  <r>
    <n v="23608"/>
    <x v="0"/>
    <x v="0"/>
    <n v="150000"/>
    <x v="1"/>
    <x v="2"/>
    <x v="2"/>
    <s v="Yes"/>
    <n v="3"/>
    <x v="0"/>
    <x v="0"/>
    <x v="36"/>
    <x v="1"/>
  </r>
  <r>
    <n v="22538"/>
    <x v="1"/>
    <x v="0"/>
    <n v="10000"/>
    <x v="3"/>
    <x v="3"/>
    <x v="3"/>
    <s v="Yes"/>
    <n v="2"/>
    <x v="3"/>
    <x v="0"/>
    <x v="6"/>
    <x v="0"/>
  </r>
  <r>
    <n v="12332"/>
    <x v="0"/>
    <x v="1"/>
    <n v="90000"/>
    <x v="5"/>
    <x v="2"/>
    <x v="4"/>
    <s v="Yes"/>
    <n v="3"/>
    <x v="2"/>
    <x v="0"/>
    <x v="7"/>
    <x v="1"/>
  </r>
  <r>
    <n v="17230"/>
    <x v="0"/>
    <x v="1"/>
    <n v="80000"/>
    <x v="3"/>
    <x v="0"/>
    <x v="2"/>
    <s v="Yes"/>
    <n v="3"/>
    <x v="4"/>
    <x v="1"/>
    <x v="25"/>
    <x v="0"/>
  </r>
  <r>
    <n v="13082"/>
    <x v="1"/>
    <x v="1"/>
    <n v="130000"/>
    <x v="3"/>
    <x v="4"/>
    <x v="4"/>
    <s v="Yes"/>
    <n v="0"/>
    <x v="1"/>
    <x v="1"/>
    <x v="28"/>
    <x v="1"/>
  </r>
  <r>
    <n v="22518"/>
    <x v="1"/>
    <x v="0"/>
    <n v="30000"/>
    <x v="1"/>
    <x v="1"/>
    <x v="1"/>
    <s v="No"/>
    <n v="2"/>
    <x v="0"/>
    <x v="0"/>
    <x v="40"/>
    <x v="1"/>
  </r>
  <r>
    <n v="13687"/>
    <x v="0"/>
    <x v="1"/>
    <n v="40000"/>
    <x v="0"/>
    <x v="0"/>
    <x v="0"/>
    <s v="Yes"/>
    <n v="1"/>
    <x v="0"/>
    <x v="0"/>
    <x v="6"/>
    <x v="1"/>
  </r>
  <r>
    <n v="23571"/>
    <x v="0"/>
    <x v="0"/>
    <n v="40000"/>
    <x v="4"/>
    <x v="0"/>
    <x v="4"/>
    <s v="Yes"/>
    <n v="2"/>
    <x v="0"/>
    <x v="1"/>
    <x v="29"/>
    <x v="1"/>
  </r>
  <r>
    <n v="19305"/>
    <x v="1"/>
    <x v="0"/>
    <n v="10000"/>
    <x v="4"/>
    <x v="2"/>
    <x v="3"/>
    <s v="Yes"/>
    <n v="1"/>
    <x v="0"/>
    <x v="0"/>
    <x v="13"/>
    <x v="1"/>
  </r>
  <r>
    <n v="22636"/>
    <x v="1"/>
    <x v="0"/>
    <n v="40000"/>
    <x v="3"/>
    <x v="0"/>
    <x v="1"/>
    <s v="No"/>
    <n v="0"/>
    <x v="0"/>
    <x v="0"/>
    <x v="13"/>
    <x v="1"/>
  </r>
  <r>
    <n v="17310"/>
    <x v="0"/>
    <x v="1"/>
    <n v="60000"/>
    <x v="0"/>
    <x v="1"/>
    <x v="0"/>
    <s v="Yes"/>
    <n v="1"/>
    <x v="0"/>
    <x v="1"/>
    <x v="12"/>
    <x v="1"/>
  </r>
  <r>
    <n v="12133"/>
    <x v="0"/>
    <x v="0"/>
    <n v="130000"/>
    <x v="1"/>
    <x v="1"/>
    <x v="2"/>
    <s v="Yes"/>
    <n v="3"/>
    <x v="2"/>
    <x v="0"/>
    <x v="5"/>
    <x v="1"/>
  </r>
  <r>
    <n v="25918"/>
    <x v="1"/>
    <x v="0"/>
    <n v="30000"/>
    <x v="4"/>
    <x v="1"/>
    <x v="1"/>
    <s v="No"/>
    <n v="2"/>
    <x v="2"/>
    <x v="1"/>
    <x v="2"/>
    <x v="1"/>
  </r>
  <r>
    <n v="25752"/>
    <x v="1"/>
    <x v="0"/>
    <n v="20000"/>
    <x v="4"/>
    <x v="1"/>
    <x v="3"/>
    <s v="No"/>
    <n v="1"/>
    <x v="0"/>
    <x v="0"/>
    <x v="39"/>
    <x v="1"/>
  </r>
  <r>
    <n v="17324"/>
    <x v="0"/>
    <x v="0"/>
    <n v="100000"/>
    <x v="5"/>
    <x v="0"/>
    <x v="2"/>
    <s v="Yes"/>
    <n v="1"/>
    <x v="4"/>
    <x v="1"/>
    <x v="30"/>
    <x v="0"/>
  </r>
  <r>
    <n v="22918"/>
    <x v="1"/>
    <x v="1"/>
    <n v="80000"/>
    <x v="2"/>
    <x v="4"/>
    <x v="4"/>
    <s v="Yes"/>
    <n v="3"/>
    <x v="0"/>
    <x v="1"/>
    <x v="5"/>
    <x v="0"/>
  </r>
  <r>
    <n v="12510"/>
    <x v="0"/>
    <x v="1"/>
    <n v="40000"/>
    <x v="0"/>
    <x v="0"/>
    <x v="0"/>
    <s v="Yes"/>
    <n v="1"/>
    <x v="0"/>
    <x v="0"/>
    <x v="1"/>
    <x v="1"/>
  </r>
  <r>
    <n v="25512"/>
    <x v="1"/>
    <x v="1"/>
    <n v="20000"/>
    <x v="3"/>
    <x v="2"/>
    <x v="3"/>
    <s v="No"/>
    <n v="1"/>
    <x v="1"/>
    <x v="0"/>
    <x v="25"/>
    <x v="0"/>
  </r>
  <r>
    <n v="16179"/>
    <x v="1"/>
    <x v="0"/>
    <n v="80000"/>
    <x v="2"/>
    <x v="0"/>
    <x v="2"/>
    <s v="Yes"/>
    <n v="4"/>
    <x v="3"/>
    <x v="1"/>
    <x v="13"/>
    <x v="0"/>
  </r>
  <r>
    <n v="15628"/>
    <x v="0"/>
    <x v="0"/>
    <n v="40000"/>
    <x v="0"/>
    <x v="0"/>
    <x v="0"/>
    <s v="Yes"/>
    <n v="1"/>
    <x v="0"/>
    <x v="0"/>
    <x v="47"/>
    <x v="0"/>
  </r>
  <r>
    <n v="20977"/>
    <x v="0"/>
    <x v="1"/>
    <n v="20000"/>
    <x v="0"/>
    <x v="0"/>
    <x v="1"/>
    <s v="Yes"/>
    <n v="0"/>
    <x v="0"/>
    <x v="0"/>
    <x v="46"/>
    <x v="1"/>
  </r>
  <r>
    <n v="18140"/>
    <x v="0"/>
    <x v="1"/>
    <n v="130000"/>
    <x v="1"/>
    <x v="1"/>
    <x v="2"/>
    <s v="No"/>
    <n v="3"/>
    <x v="2"/>
    <x v="0"/>
    <x v="36"/>
    <x v="1"/>
  </r>
  <r>
    <n v="20417"/>
    <x v="0"/>
    <x v="1"/>
    <n v="30000"/>
    <x v="1"/>
    <x v="1"/>
    <x v="1"/>
    <s v="No"/>
    <n v="2"/>
    <x v="2"/>
    <x v="1"/>
    <x v="16"/>
    <x v="0"/>
  </r>
  <r>
    <n v="18267"/>
    <x v="0"/>
    <x v="1"/>
    <n v="60000"/>
    <x v="1"/>
    <x v="0"/>
    <x v="2"/>
    <s v="Yes"/>
    <n v="2"/>
    <x v="2"/>
    <x v="1"/>
    <x v="1"/>
    <x v="0"/>
  </r>
  <r>
    <n v="13620"/>
    <x v="1"/>
    <x v="1"/>
    <n v="70000"/>
    <x v="3"/>
    <x v="0"/>
    <x v="2"/>
    <s v="No"/>
    <n v="3"/>
    <x v="4"/>
    <x v="1"/>
    <x v="25"/>
    <x v="1"/>
  </r>
  <r>
    <n v="22974"/>
    <x v="0"/>
    <x v="0"/>
    <n v="30000"/>
    <x v="4"/>
    <x v="1"/>
    <x v="1"/>
    <s v="Yes"/>
    <n v="2"/>
    <x v="2"/>
    <x v="1"/>
    <x v="45"/>
    <x v="0"/>
  </r>
  <r>
    <n v="13586"/>
    <x v="0"/>
    <x v="1"/>
    <n v="80000"/>
    <x v="5"/>
    <x v="1"/>
    <x v="2"/>
    <s v="Yes"/>
    <n v="2"/>
    <x v="4"/>
    <x v="0"/>
    <x v="39"/>
    <x v="0"/>
  </r>
  <r>
    <n v="17978"/>
    <x v="0"/>
    <x v="1"/>
    <n v="40000"/>
    <x v="3"/>
    <x v="4"/>
    <x v="1"/>
    <s v="Yes"/>
    <n v="0"/>
    <x v="0"/>
    <x v="0"/>
    <x v="34"/>
    <x v="1"/>
  </r>
  <r>
    <n v="12581"/>
    <x v="1"/>
    <x v="0"/>
    <n v="10000"/>
    <x v="3"/>
    <x v="1"/>
    <x v="3"/>
    <s v="No"/>
    <n v="1"/>
    <x v="0"/>
    <x v="1"/>
    <x v="26"/>
    <x v="1"/>
  </r>
  <r>
    <n v="18018"/>
    <x v="1"/>
    <x v="1"/>
    <n v="30000"/>
    <x v="1"/>
    <x v="1"/>
    <x v="1"/>
    <s v="Yes"/>
    <n v="0"/>
    <x v="0"/>
    <x v="0"/>
    <x v="1"/>
    <x v="0"/>
  </r>
  <r>
    <n v="28957"/>
    <x v="1"/>
    <x v="0"/>
    <n v="120000"/>
    <x v="3"/>
    <x v="3"/>
    <x v="2"/>
    <s v="Yes"/>
    <n v="4"/>
    <x v="4"/>
    <x v="1"/>
    <x v="17"/>
    <x v="1"/>
  </r>
  <r>
    <n v="13690"/>
    <x v="1"/>
    <x v="0"/>
    <n v="20000"/>
    <x v="3"/>
    <x v="3"/>
    <x v="3"/>
    <s v="No"/>
    <n v="2"/>
    <x v="3"/>
    <x v="0"/>
    <x v="17"/>
    <x v="1"/>
  </r>
  <r>
    <n v="12568"/>
    <x v="0"/>
    <x v="0"/>
    <n v="30000"/>
    <x v="0"/>
    <x v="0"/>
    <x v="1"/>
    <s v="Yes"/>
    <n v="0"/>
    <x v="0"/>
    <x v="0"/>
    <x v="46"/>
    <x v="0"/>
  </r>
  <r>
    <n v="13122"/>
    <x v="0"/>
    <x v="0"/>
    <n v="80000"/>
    <x v="3"/>
    <x v="0"/>
    <x v="2"/>
    <s v="Yes"/>
    <n v="1"/>
    <x v="3"/>
    <x v="1"/>
    <x v="3"/>
    <x v="1"/>
  </r>
  <r>
    <n v="21184"/>
    <x v="1"/>
    <x v="1"/>
    <n v="70000"/>
    <x v="3"/>
    <x v="0"/>
    <x v="2"/>
    <s v="No"/>
    <n v="1"/>
    <x v="2"/>
    <x v="1"/>
    <x v="13"/>
    <x v="0"/>
  </r>
  <r>
    <n v="26150"/>
    <x v="1"/>
    <x v="0"/>
    <n v="70000"/>
    <x v="3"/>
    <x v="0"/>
    <x v="2"/>
    <s v="No"/>
    <n v="1"/>
    <x v="0"/>
    <x v="1"/>
    <x v="3"/>
    <x v="1"/>
  </r>
  <r>
    <n v="24151"/>
    <x v="1"/>
    <x v="1"/>
    <n v="20000"/>
    <x v="0"/>
    <x v="0"/>
    <x v="1"/>
    <s v="No"/>
    <n v="0"/>
    <x v="0"/>
    <x v="0"/>
    <x v="36"/>
    <x v="0"/>
  </r>
  <r>
    <n v="23962"/>
    <x v="0"/>
    <x v="0"/>
    <n v="10000"/>
    <x v="3"/>
    <x v="3"/>
    <x v="3"/>
    <s v="Yes"/>
    <n v="2"/>
    <x v="3"/>
    <x v="0"/>
    <x v="21"/>
    <x v="0"/>
  </r>
  <r>
    <n v="17793"/>
    <x v="0"/>
    <x v="0"/>
    <n v="40000"/>
    <x v="3"/>
    <x v="0"/>
    <x v="1"/>
    <s v="Yes"/>
    <n v="0"/>
    <x v="0"/>
    <x v="0"/>
    <x v="13"/>
    <x v="1"/>
  </r>
  <r>
    <n v="14926"/>
    <x v="0"/>
    <x v="1"/>
    <n v="30000"/>
    <x v="0"/>
    <x v="0"/>
    <x v="1"/>
    <s v="Yes"/>
    <n v="0"/>
    <x v="0"/>
    <x v="0"/>
    <x v="13"/>
    <x v="1"/>
  </r>
  <r>
    <n v="16163"/>
    <x v="1"/>
    <x v="1"/>
    <n v="60000"/>
    <x v="4"/>
    <x v="0"/>
    <x v="2"/>
    <s v="Yes"/>
    <n v="1"/>
    <x v="1"/>
    <x v="1"/>
    <x v="13"/>
    <x v="1"/>
  </r>
  <r>
    <n v="21365"/>
    <x v="0"/>
    <x v="0"/>
    <n v="10000"/>
    <x v="4"/>
    <x v="3"/>
    <x v="1"/>
    <s v="Yes"/>
    <n v="2"/>
    <x v="2"/>
    <x v="1"/>
    <x v="7"/>
    <x v="0"/>
  </r>
  <r>
    <n v="27771"/>
    <x v="1"/>
    <x v="1"/>
    <n v="30000"/>
    <x v="0"/>
    <x v="0"/>
    <x v="1"/>
    <s v="Yes"/>
    <n v="1"/>
    <x v="3"/>
    <x v="0"/>
    <x v="32"/>
    <x v="1"/>
  </r>
  <r>
    <n v="26167"/>
    <x v="1"/>
    <x v="0"/>
    <n v="40000"/>
    <x v="4"/>
    <x v="0"/>
    <x v="4"/>
    <s v="No"/>
    <n v="1"/>
    <x v="2"/>
    <x v="1"/>
    <x v="39"/>
    <x v="1"/>
  </r>
  <r>
    <n v="25792"/>
    <x v="1"/>
    <x v="0"/>
    <n v="110000"/>
    <x v="1"/>
    <x v="0"/>
    <x v="4"/>
    <s v="Yes"/>
    <n v="4"/>
    <x v="4"/>
    <x v="0"/>
    <x v="39"/>
    <x v="0"/>
  </r>
  <r>
    <n v="11555"/>
    <x v="0"/>
    <x v="0"/>
    <n v="40000"/>
    <x v="0"/>
    <x v="0"/>
    <x v="1"/>
    <s v="Yes"/>
    <n v="0"/>
    <x v="0"/>
    <x v="0"/>
    <x v="48"/>
    <x v="0"/>
  </r>
  <r>
    <n v="22381"/>
    <x v="0"/>
    <x v="1"/>
    <n v="10000"/>
    <x v="0"/>
    <x v="4"/>
    <x v="3"/>
    <s v="Yes"/>
    <n v="0"/>
    <x v="0"/>
    <x v="0"/>
    <x v="20"/>
    <x v="0"/>
  </r>
  <r>
    <n v="17882"/>
    <x v="0"/>
    <x v="1"/>
    <n v="20000"/>
    <x v="0"/>
    <x v="4"/>
    <x v="1"/>
    <s v="Yes"/>
    <n v="0"/>
    <x v="0"/>
    <x v="0"/>
    <x v="20"/>
    <x v="0"/>
  </r>
  <r>
    <n v="22174"/>
    <x v="0"/>
    <x v="1"/>
    <n v="30000"/>
    <x v="1"/>
    <x v="2"/>
    <x v="0"/>
    <s v="Yes"/>
    <n v="2"/>
    <x v="2"/>
    <x v="1"/>
    <x v="9"/>
    <x v="1"/>
  </r>
  <r>
    <n v="22439"/>
    <x v="0"/>
    <x v="0"/>
    <n v="30000"/>
    <x v="3"/>
    <x v="0"/>
    <x v="1"/>
    <s v="Yes"/>
    <n v="0"/>
    <x v="0"/>
    <x v="0"/>
    <x v="34"/>
    <x v="1"/>
  </r>
  <r>
    <n v="18012"/>
    <x v="0"/>
    <x v="0"/>
    <n v="40000"/>
    <x v="0"/>
    <x v="0"/>
    <x v="0"/>
    <s v="Yes"/>
    <n v="0"/>
    <x v="0"/>
    <x v="0"/>
    <x v="3"/>
    <x v="0"/>
  </r>
  <r>
    <n v="27582"/>
    <x v="1"/>
    <x v="0"/>
    <n v="90000"/>
    <x v="4"/>
    <x v="0"/>
    <x v="2"/>
    <s v="No"/>
    <n v="0"/>
    <x v="0"/>
    <x v="1"/>
    <x v="4"/>
    <x v="1"/>
  </r>
  <r>
    <n v="12744"/>
    <x v="1"/>
    <x v="0"/>
    <n v="40000"/>
    <x v="4"/>
    <x v="1"/>
    <x v="1"/>
    <s v="Yes"/>
    <n v="0"/>
    <x v="0"/>
    <x v="0"/>
    <x v="6"/>
    <x v="0"/>
  </r>
  <r>
    <n v="22821"/>
    <x v="0"/>
    <x v="0"/>
    <n v="130000"/>
    <x v="1"/>
    <x v="1"/>
    <x v="2"/>
    <s v="Yes"/>
    <n v="4"/>
    <x v="0"/>
    <x v="0"/>
    <x v="31"/>
    <x v="0"/>
  </r>
  <r>
    <n v="20171"/>
    <x v="0"/>
    <x v="0"/>
    <n v="20000"/>
    <x v="4"/>
    <x v="1"/>
    <x v="3"/>
    <s v="Yes"/>
    <n v="1"/>
    <x v="0"/>
    <x v="0"/>
    <x v="30"/>
    <x v="1"/>
  </r>
  <r>
    <n v="11116"/>
    <x v="0"/>
    <x v="1"/>
    <n v="70000"/>
    <x v="2"/>
    <x v="1"/>
    <x v="0"/>
    <s v="Yes"/>
    <n v="2"/>
    <x v="2"/>
    <x v="1"/>
    <x v="1"/>
    <x v="0"/>
  </r>
  <r>
    <n v="20053"/>
    <x v="1"/>
    <x v="1"/>
    <n v="40000"/>
    <x v="4"/>
    <x v="1"/>
    <x v="1"/>
    <s v="Yes"/>
    <n v="0"/>
    <x v="0"/>
    <x v="0"/>
    <x v="17"/>
    <x v="0"/>
  </r>
  <r>
    <n v="25266"/>
    <x v="1"/>
    <x v="0"/>
    <n v="30000"/>
    <x v="4"/>
    <x v="1"/>
    <x v="1"/>
    <s v="No"/>
    <n v="2"/>
    <x v="2"/>
    <x v="1"/>
    <x v="41"/>
    <x v="0"/>
  </r>
  <r>
    <n v="17960"/>
    <x v="0"/>
    <x v="0"/>
    <n v="40000"/>
    <x v="3"/>
    <x v="4"/>
    <x v="1"/>
    <s v="Yes"/>
    <n v="0"/>
    <x v="0"/>
    <x v="0"/>
    <x v="11"/>
    <x v="1"/>
  </r>
  <r>
    <n v="13961"/>
    <x v="0"/>
    <x v="0"/>
    <n v="80000"/>
    <x v="2"/>
    <x v="4"/>
    <x v="4"/>
    <s v="Yes"/>
    <n v="3"/>
    <x v="0"/>
    <x v="1"/>
    <x v="8"/>
    <x v="0"/>
  </r>
  <r>
    <n v="11897"/>
    <x v="1"/>
    <x v="1"/>
    <n v="60000"/>
    <x v="4"/>
    <x v="0"/>
    <x v="2"/>
    <s v="No"/>
    <n v="1"/>
    <x v="0"/>
    <x v="1"/>
    <x v="34"/>
    <x v="1"/>
  </r>
  <r>
    <n v="11139"/>
    <x v="1"/>
    <x v="0"/>
    <n v="30000"/>
    <x v="4"/>
    <x v="1"/>
    <x v="1"/>
    <s v="No"/>
    <n v="2"/>
    <x v="2"/>
    <x v="1"/>
    <x v="41"/>
    <x v="0"/>
  </r>
  <r>
    <n v="11576"/>
    <x v="0"/>
    <x v="1"/>
    <n v="30000"/>
    <x v="0"/>
    <x v="0"/>
    <x v="0"/>
    <s v="Yes"/>
    <n v="2"/>
    <x v="0"/>
    <x v="0"/>
    <x v="3"/>
    <x v="1"/>
  </r>
  <r>
    <n v="19255"/>
    <x v="1"/>
    <x v="1"/>
    <n v="10000"/>
    <x v="4"/>
    <x v="1"/>
    <x v="3"/>
    <s v="Yes"/>
    <n v="1"/>
    <x v="0"/>
    <x v="0"/>
    <x v="36"/>
    <x v="1"/>
  </r>
  <r>
    <n v="18153"/>
    <x v="0"/>
    <x v="0"/>
    <n v="100000"/>
    <x v="4"/>
    <x v="0"/>
    <x v="4"/>
    <s v="Yes"/>
    <n v="4"/>
    <x v="4"/>
    <x v="0"/>
    <x v="14"/>
    <x v="0"/>
  </r>
  <r>
    <n v="14547"/>
    <x v="0"/>
    <x v="1"/>
    <n v="10000"/>
    <x v="4"/>
    <x v="1"/>
    <x v="3"/>
    <s v="Yes"/>
    <n v="0"/>
    <x v="3"/>
    <x v="0"/>
    <x v="36"/>
    <x v="0"/>
  </r>
  <r>
    <n v="24901"/>
    <x v="1"/>
    <x v="1"/>
    <n v="110000"/>
    <x v="3"/>
    <x v="1"/>
    <x v="4"/>
    <s v="No"/>
    <n v="3"/>
    <x v="4"/>
    <x v="1"/>
    <x v="21"/>
    <x v="1"/>
  </r>
  <r>
    <n v="27169"/>
    <x v="1"/>
    <x v="1"/>
    <n v="30000"/>
    <x v="3"/>
    <x v="2"/>
    <x v="3"/>
    <s v="Yes"/>
    <n v="1"/>
    <x v="1"/>
    <x v="0"/>
    <x v="17"/>
    <x v="1"/>
  </r>
  <r>
    <n v="14805"/>
    <x v="1"/>
    <x v="0"/>
    <n v="10000"/>
    <x v="1"/>
    <x v="3"/>
    <x v="3"/>
    <s v="Yes"/>
    <n v="2"/>
    <x v="0"/>
    <x v="0"/>
    <x v="1"/>
    <x v="0"/>
  </r>
  <r>
    <n v="15822"/>
    <x v="0"/>
    <x v="1"/>
    <n v="40000"/>
    <x v="4"/>
    <x v="0"/>
    <x v="4"/>
    <s v="Yes"/>
    <n v="2"/>
    <x v="0"/>
    <x v="1"/>
    <x v="41"/>
    <x v="0"/>
  </r>
  <r>
    <n v="19389"/>
    <x v="1"/>
    <x v="1"/>
    <n v="30000"/>
    <x v="3"/>
    <x v="1"/>
    <x v="1"/>
    <s v="No"/>
    <n v="1"/>
    <x v="1"/>
    <x v="0"/>
    <x v="26"/>
    <x v="0"/>
  </r>
  <r>
    <n v="17048"/>
    <x v="1"/>
    <x v="0"/>
    <n v="90000"/>
    <x v="0"/>
    <x v="4"/>
    <x v="4"/>
    <s v="Yes"/>
    <n v="0"/>
    <x v="0"/>
    <x v="1"/>
    <x v="4"/>
    <x v="1"/>
  </r>
  <r>
    <n v="22204"/>
    <x v="0"/>
    <x v="1"/>
    <n v="110000"/>
    <x v="5"/>
    <x v="0"/>
    <x v="4"/>
    <s v="Yes"/>
    <n v="3"/>
    <x v="1"/>
    <x v="1"/>
    <x v="28"/>
    <x v="0"/>
  </r>
  <r>
    <n v="12718"/>
    <x v="1"/>
    <x v="0"/>
    <n v="30000"/>
    <x v="3"/>
    <x v="1"/>
    <x v="1"/>
    <s v="Yes"/>
    <n v="1"/>
    <x v="1"/>
    <x v="0"/>
    <x v="23"/>
    <x v="0"/>
  </r>
  <r>
    <n v="15019"/>
    <x v="1"/>
    <x v="0"/>
    <n v="30000"/>
    <x v="1"/>
    <x v="2"/>
    <x v="0"/>
    <s v="Yes"/>
    <n v="2"/>
    <x v="2"/>
    <x v="1"/>
    <x v="10"/>
    <x v="0"/>
  </r>
  <r>
    <n v="28488"/>
    <x v="1"/>
    <x v="1"/>
    <n v="20000"/>
    <x v="3"/>
    <x v="1"/>
    <x v="3"/>
    <s v="Yes"/>
    <n v="0"/>
    <x v="0"/>
    <x v="1"/>
    <x v="26"/>
    <x v="1"/>
  </r>
  <r>
    <n v="21891"/>
    <x v="0"/>
    <x v="0"/>
    <n v="110000"/>
    <x v="3"/>
    <x v="2"/>
    <x v="4"/>
    <s v="Yes"/>
    <n v="3"/>
    <x v="4"/>
    <x v="1"/>
    <x v="17"/>
    <x v="1"/>
  </r>
  <r>
    <n v="27814"/>
    <x v="1"/>
    <x v="0"/>
    <n v="30000"/>
    <x v="1"/>
    <x v="1"/>
    <x v="1"/>
    <s v="No"/>
    <n v="1"/>
    <x v="0"/>
    <x v="0"/>
    <x v="22"/>
    <x v="0"/>
  </r>
  <r>
    <n v="22175"/>
    <x v="0"/>
    <x v="0"/>
    <n v="30000"/>
    <x v="1"/>
    <x v="2"/>
    <x v="0"/>
    <s v="Yes"/>
    <n v="2"/>
    <x v="2"/>
    <x v="1"/>
    <x v="39"/>
    <x v="1"/>
  </r>
  <r>
    <n v="29447"/>
    <x v="1"/>
    <x v="0"/>
    <n v="10000"/>
    <x v="4"/>
    <x v="0"/>
    <x v="1"/>
    <s v="No"/>
    <n v="1"/>
    <x v="1"/>
    <x v="0"/>
    <x v="35"/>
    <x v="0"/>
  </r>
  <r>
    <n v="19784"/>
    <x v="0"/>
    <x v="0"/>
    <n v="80000"/>
    <x v="4"/>
    <x v="2"/>
    <x v="0"/>
    <s v="Yes"/>
    <n v="2"/>
    <x v="2"/>
    <x v="1"/>
    <x v="5"/>
    <x v="1"/>
  </r>
  <r>
    <n v="27824"/>
    <x v="1"/>
    <x v="0"/>
    <n v="30000"/>
    <x v="1"/>
    <x v="1"/>
    <x v="1"/>
    <s v="Yes"/>
    <n v="2"/>
    <x v="0"/>
    <x v="0"/>
    <x v="26"/>
    <x v="1"/>
  </r>
  <r>
    <n v="24093"/>
    <x v="1"/>
    <x v="0"/>
    <n v="80000"/>
    <x v="3"/>
    <x v="4"/>
    <x v="0"/>
    <s v="No"/>
    <n v="0"/>
    <x v="0"/>
    <x v="0"/>
    <x v="8"/>
    <x v="1"/>
  </r>
  <r>
    <n v="19618"/>
    <x v="0"/>
    <x v="1"/>
    <n v="70000"/>
    <x v="2"/>
    <x v="1"/>
    <x v="0"/>
    <s v="Yes"/>
    <n v="2"/>
    <x v="0"/>
    <x v="1"/>
    <x v="20"/>
    <x v="0"/>
  </r>
  <r>
    <n v="21561"/>
    <x v="1"/>
    <x v="1"/>
    <n v="90000"/>
    <x v="3"/>
    <x v="0"/>
    <x v="2"/>
    <s v="No"/>
    <n v="3"/>
    <x v="4"/>
    <x v="1"/>
    <x v="17"/>
    <x v="1"/>
  </r>
  <r>
    <n v="11061"/>
    <x v="0"/>
    <x v="1"/>
    <n v="70000"/>
    <x v="4"/>
    <x v="1"/>
    <x v="0"/>
    <s v="Yes"/>
    <n v="2"/>
    <x v="2"/>
    <x v="1"/>
    <x v="31"/>
    <x v="1"/>
  </r>
  <r>
    <n v="26651"/>
    <x v="1"/>
    <x v="1"/>
    <n v="80000"/>
    <x v="5"/>
    <x v="4"/>
    <x v="4"/>
    <s v="Yes"/>
    <n v="0"/>
    <x v="0"/>
    <x v="1"/>
    <x v="4"/>
    <x v="1"/>
  </r>
  <r>
    <n v="21108"/>
    <x v="0"/>
    <x v="0"/>
    <n v="40000"/>
    <x v="0"/>
    <x v="0"/>
    <x v="0"/>
    <s v="Yes"/>
    <n v="1"/>
    <x v="0"/>
    <x v="0"/>
    <x v="1"/>
    <x v="1"/>
  </r>
  <r>
    <n v="12731"/>
    <x v="1"/>
    <x v="1"/>
    <n v="30000"/>
    <x v="3"/>
    <x v="2"/>
    <x v="3"/>
    <s v="No"/>
    <n v="1"/>
    <x v="3"/>
    <x v="0"/>
    <x v="21"/>
    <x v="0"/>
  </r>
  <r>
    <n v="25307"/>
    <x v="0"/>
    <x v="0"/>
    <n v="40000"/>
    <x v="0"/>
    <x v="0"/>
    <x v="0"/>
    <s v="Yes"/>
    <n v="1"/>
    <x v="3"/>
    <x v="0"/>
    <x v="21"/>
    <x v="1"/>
  </r>
  <r>
    <n v="14278"/>
    <x v="0"/>
    <x v="0"/>
    <n v="130000"/>
    <x v="3"/>
    <x v="4"/>
    <x v="4"/>
    <s v="Yes"/>
    <n v="1"/>
    <x v="4"/>
    <x v="1"/>
    <x v="28"/>
    <x v="0"/>
  </r>
  <r>
    <n v="20711"/>
    <x v="0"/>
    <x v="0"/>
    <n v="40000"/>
    <x v="0"/>
    <x v="0"/>
    <x v="0"/>
    <s v="Yes"/>
    <n v="0"/>
    <x v="3"/>
    <x v="0"/>
    <x v="21"/>
    <x v="1"/>
  </r>
  <r>
    <n v="11383"/>
    <x v="0"/>
    <x v="0"/>
    <n v="30000"/>
    <x v="1"/>
    <x v="4"/>
    <x v="1"/>
    <s v="Yes"/>
    <n v="0"/>
    <x v="0"/>
    <x v="0"/>
    <x v="30"/>
    <x v="0"/>
  </r>
  <r>
    <n v="12497"/>
    <x v="0"/>
    <x v="0"/>
    <n v="40000"/>
    <x v="0"/>
    <x v="0"/>
    <x v="0"/>
    <s v="Yes"/>
    <n v="0"/>
    <x v="0"/>
    <x v="0"/>
    <x v="0"/>
    <x v="0"/>
  </r>
  <r>
    <n v="16559"/>
    <x v="1"/>
    <x v="0"/>
    <n v="10000"/>
    <x v="4"/>
    <x v="2"/>
    <x v="3"/>
    <s v="Yes"/>
    <n v="0"/>
    <x v="0"/>
    <x v="0"/>
    <x v="4"/>
    <x v="1"/>
  </r>
  <r>
    <n v="11585"/>
    <x v="0"/>
    <x v="0"/>
    <n v="40000"/>
    <x v="0"/>
    <x v="0"/>
    <x v="0"/>
    <s v="Yes"/>
    <n v="0"/>
    <x v="0"/>
    <x v="0"/>
    <x v="3"/>
    <x v="0"/>
  </r>
  <r>
    <n v="20277"/>
    <x v="0"/>
    <x v="0"/>
    <n v="30000"/>
    <x v="4"/>
    <x v="1"/>
    <x v="1"/>
    <s v="No"/>
    <n v="2"/>
    <x v="0"/>
    <x v="1"/>
    <x v="45"/>
    <x v="0"/>
  </r>
  <r>
    <n v="26765"/>
    <x v="1"/>
    <x v="0"/>
    <n v="70000"/>
    <x v="2"/>
    <x v="1"/>
    <x v="0"/>
    <s v="Yes"/>
    <n v="2"/>
    <x v="2"/>
    <x v="1"/>
    <x v="12"/>
    <x v="0"/>
  </r>
  <r>
    <n v="12389"/>
    <x v="1"/>
    <x v="1"/>
    <n v="30000"/>
    <x v="3"/>
    <x v="2"/>
    <x v="3"/>
    <s v="No"/>
    <n v="1"/>
    <x v="1"/>
    <x v="0"/>
    <x v="17"/>
    <x v="0"/>
  </r>
  <r>
    <n v="13585"/>
    <x v="0"/>
    <x v="0"/>
    <n v="80000"/>
    <x v="5"/>
    <x v="1"/>
    <x v="2"/>
    <s v="No"/>
    <n v="1"/>
    <x v="1"/>
    <x v="0"/>
    <x v="39"/>
    <x v="1"/>
  </r>
  <r>
    <n v="26385"/>
    <x v="1"/>
    <x v="1"/>
    <n v="120000"/>
    <x v="1"/>
    <x v="2"/>
    <x v="2"/>
    <s v="No"/>
    <n v="4"/>
    <x v="2"/>
    <x v="0"/>
    <x v="5"/>
    <x v="0"/>
  </r>
  <r>
    <n v="12236"/>
    <x v="0"/>
    <x v="0"/>
    <n v="20000"/>
    <x v="0"/>
    <x v="1"/>
    <x v="3"/>
    <s v="Yes"/>
    <n v="0"/>
    <x v="0"/>
    <x v="0"/>
    <x v="27"/>
    <x v="0"/>
  </r>
  <r>
    <n v="21560"/>
    <x v="0"/>
    <x v="1"/>
    <n v="120000"/>
    <x v="3"/>
    <x v="3"/>
    <x v="2"/>
    <s v="Yes"/>
    <n v="4"/>
    <x v="4"/>
    <x v="1"/>
    <x v="21"/>
    <x v="1"/>
  </r>
  <r>
    <n v="21554"/>
    <x v="1"/>
    <x v="0"/>
    <n v="80000"/>
    <x v="3"/>
    <x v="0"/>
    <x v="2"/>
    <s v="No"/>
    <n v="3"/>
    <x v="4"/>
    <x v="1"/>
    <x v="6"/>
    <x v="0"/>
  </r>
  <r>
    <n v="13662"/>
    <x v="1"/>
    <x v="1"/>
    <n v="20000"/>
    <x v="3"/>
    <x v="3"/>
    <x v="3"/>
    <s v="Yes"/>
    <n v="2"/>
    <x v="3"/>
    <x v="0"/>
    <x v="23"/>
    <x v="1"/>
  </r>
  <r>
    <n v="13089"/>
    <x v="0"/>
    <x v="0"/>
    <n v="120000"/>
    <x v="0"/>
    <x v="0"/>
    <x v="4"/>
    <s v="Yes"/>
    <n v="2"/>
    <x v="0"/>
    <x v="1"/>
    <x v="30"/>
    <x v="1"/>
  </r>
  <r>
    <n v="14791"/>
    <x v="0"/>
    <x v="0"/>
    <n v="40000"/>
    <x v="3"/>
    <x v="0"/>
    <x v="1"/>
    <s v="Yes"/>
    <n v="0"/>
    <x v="0"/>
    <x v="0"/>
    <x v="32"/>
    <x v="1"/>
  </r>
  <r>
    <n v="19331"/>
    <x v="1"/>
    <x v="1"/>
    <n v="20000"/>
    <x v="4"/>
    <x v="2"/>
    <x v="3"/>
    <s v="Yes"/>
    <n v="1"/>
    <x v="0"/>
    <x v="0"/>
    <x v="8"/>
    <x v="0"/>
  </r>
  <r>
    <n v="17754"/>
    <x v="1"/>
    <x v="0"/>
    <n v="30000"/>
    <x v="1"/>
    <x v="0"/>
    <x v="1"/>
    <s v="Yes"/>
    <n v="0"/>
    <x v="0"/>
    <x v="0"/>
    <x v="30"/>
    <x v="1"/>
  </r>
  <r>
    <n v="11149"/>
    <x v="0"/>
    <x v="1"/>
    <n v="40000"/>
    <x v="4"/>
    <x v="0"/>
    <x v="4"/>
    <s v="Yes"/>
    <n v="2"/>
    <x v="0"/>
    <x v="1"/>
    <x v="27"/>
    <x v="0"/>
  </r>
  <r>
    <n v="16549"/>
    <x v="1"/>
    <x v="0"/>
    <n v="30000"/>
    <x v="1"/>
    <x v="0"/>
    <x v="1"/>
    <s v="Yes"/>
    <n v="0"/>
    <x v="0"/>
    <x v="0"/>
    <x v="15"/>
    <x v="1"/>
  </r>
  <r>
    <n v="24305"/>
    <x v="1"/>
    <x v="1"/>
    <n v="100000"/>
    <x v="0"/>
    <x v="0"/>
    <x v="4"/>
    <s v="No"/>
    <n v="3"/>
    <x v="0"/>
    <x v="1"/>
    <x v="30"/>
    <x v="1"/>
  </r>
  <r>
    <n v="18253"/>
    <x v="0"/>
    <x v="0"/>
    <n v="80000"/>
    <x v="2"/>
    <x v="4"/>
    <x v="4"/>
    <s v="Yes"/>
    <n v="3"/>
    <x v="0"/>
    <x v="1"/>
    <x v="8"/>
    <x v="0"/>
  </r>
  <r>
    <n v="20147"/>
    <x v="0"/>
    <x v="0"/>
    <n v="30000"/>
    <x v="0"/>
    <x v="0"/>
    <x v="1"/>
    <s v="Yes"/>
    <n v="0"/>
    <x v="0"/>
    <x v="0"/>
    <x v="27"/>
    <x v="0"/>
  </r>
  <r>
    <n v="15612"/>
    <x v="1"/>
    <x v="1"/>
    <n v="30000"/>
    <x v="3"/>
    <x v="2"/>
    <x v="3"/>
    <s v="No"/>
    <n v="1"/>
    <x v="3"/>
    <x v="0"/>
    <x v="26"/>
    <x v="0"/>
  </r>
  <r>
    <n v="28323"/>
    <x v="1"/>
    <x v="1"/>
    <n v="70000"/>
    <x v="3"/>
    <x v="0"/>
    <x v="2"/>
    <s v="No"/>
    <n v="2"/>
    <x v="2"/>
    <x v="1"/>
    <x v="1"/>
    <x v="1"/>
  </r>
  <r>
    <n v="22634"/>
    <x v="1"/>
    <x v="0"/>
    <n v="40000"/>
    <x v="3"/>
    <x v="4"/>
    <x v="1"/>
    <s v="Yes"/>
    <n v="0"/>
    <x v="0"/>
    <x v="0"/>
    <x v="13"/>
    <x v="1"/>
  </r>
  <r>
    <n v="15665"/>
    <x v="0"/>
    <x v="0"/>
    <n v="30000"/>
    <x v="3"/>
    <x v="0"/>
    <x v="1"/>
    <s v="Yes"/>
    <n v="0"/>
    <x v="0"/>
    <x v="0"/>
    <x v="15"/>
    <x v="1"/>
  </r>
  <r>
    <n v="27585"/>
    <x v="0"/>
    <x v="0"/>
    <n v="90000"/>
    <x v="4"/>
    <x v="0"/>
    <x v="2"/>
    <s v="No"/>
    <n v="0"/>
    <x v="0"/>
    <x v="1"/>
    <x v="4"/>
    <x v="1"/>
  </r>
  <r>
    <n v="19748"/>
    <x v="0"/>
    <x v="1"/>
    <n v="20000"/>
    <x v="5"/>
    <x v="2"/>
    <x v="0"/>
    <s v="No"/>
    <n v="2"/>
    <x v="3"/>
    <x v="1"/>
    <x v="2"/>
    <x v="0"/>
  </r>
  <r>
    <n v="21974"/>
    <x v="1"/>
    <x v="0"/>
    <n v="70000"/>
    <x v="3"/>
    <x v="0"/>
    <x v="2"/>
    <s v="Yes"/>
    <n v="1"/>
    <x v="2"/>
    <x v="1"/>
    <x v="0"/>
    <x v="1"/>
  </r>
  <r>
    <n v="14032"/>
    <x v="0"/>
    <x v="1"/>
    <n v="70000"/>
    <x v="4"/>
    <x v="2"/>
    <x v="0"/>
    <s v="No"/>
    <n v="2"/>
    <x v="3"/>
    <x v="1"/>
    <x v="5"/>
    <x v="1"/>
  </r>
  <r>
    <n v="22610"/>
    <x v="0"/>
    <x v="1"/>
    <n v="30000"/>
    <x v="3"/>
    <x v="0"/>
    <x v="1"/>
    <s v="Yes"/>
    <n v="0"/>
    <x v="0"/>
    <x v="0"/>
    <x v="11"/>
    <x v="1"/>
  </r>
  <r>
    <n v="26984"/>
    <x v="0"/>
    <x v="1"/>
    <n v="40000"/>
    <x v="0"/>
    <x v="0"/>
    <x v="0"/>
    <s v="Yes"/>
    <n v="1"/>
    <x v="0"/>
    <x v="0"/>
    <x v="21"/>
    <x v="1"/>
  </r>
  <r>
    <n v="18294"/>
    <x v="0"/>
    <x v="0"/>
    <n v="90000"/>
    <x v="0"/>
    <x v="0"/>
    <x v="2"/>
    <s v="Yes"/>
    <n v="1"/>
    <x v="2"/>
    <x v="1"/>
    <x v="30"/>
    <x v="0"/>
  </r>
  <r>
    <n v="28564"/>
    <x v="1"/>
    <x v="0"/>
    <n v="40000"/>
    <x v="4"/>
    <x v="1"/>
    <x v="1"/>
    <s v="Yes"/>
    <n v="0"/>
    <x v="3"/>
    <x v="0"/>
    <x v="6"/>
    <x v="1"/>
  </r>
  <r>
    <n v="28521"/>
    <x v="1"/>
    <x v="1"/>
    <n v="40000"/>
    <x v="3"/>
    <x v="4"/>
    <x v="1"/>
    <s v="No"/>
    <n v="0"/>
    <x v="0"/>
    <x v="0"/>
    <x v="4"/>
    <x v="1"/>
  </r>
  <r>
    <n v="15450"/>
    <x v="0"/>
    <x v="1"/>
    <n v="10000"/>
    <x v="0"/>
    <x v="4"/>
    <x v="1"/>
    <s v="Yes"/>
    <n v="0"/>
    <x v="0"/>
    <x v="0"/>
    <x v="43"/>
    <x v="0"/>
  </r>
  <r>
    <n v="25681"/>
    <x v="1"/>
    <x v="0"/>
    <n v="30000"/>
    <x v="3"/>
    <x v="1"/>
    <x v="1"/>
    <s v="No"/>
    <n v="1"/>
    <x v="1"/>
    <x v="0"/>
    <x v="23"/>
    <x v="1"/>
  </r>
  <r>
    <n v="19491"/>
    <x v="1"/>
    <x v="1"/>
    <n v="30000"/>
    <x v="4"/>
    <x v="1"/>
    <x v="1"/>
    <s v="Yes"/>
    <n v="2"/>
    <x v="0"/>
    <x v="0"/>
    <x v="0"/>
    <x v="0"/>
  </r>
  <r>
    <n v="26415"/>
    <x v="0"/>
    <x v="0"/>
    <n v="90000"/>
    <x v="5"/>
    <x v="3"/>
    <x v="0"/>
    <s v="Yes"/>
    <n v="4"/>
    <x v="4"/>
    <x v="0"/>
    <x v="7"/>
    <x v="0"/>
  </r>
  <r>
    <n v="12821"/>
    <x v="0"/>
    <x v="1"/>
    <n v="40000"/>
    <x v="3"/>
    <x v="0"/>
    <x v="1"/>
    <s v="Yes"/>
    <n v="0"/>
    <x v="0"/>
    <x v="0"/>
    <x v="32"/>
    <x v="0"/>
  </r>
  <r>
    <n v="15629"/>
    <x v="1"/>
    <x v="0"/>
    <n v="10000"/>
    <x v="3"/>
    <x v="3"/>
    <x v="3"/>
    <s v="Yes"/>
    <n v="2"/>
    <x v="3"/>
    <x v="0"/>
    <x v="17"/>
    <x v="0"/>
  </r>
  <r>
    <n v="27835"/>
    <x v="0"/>
    <x v="1"/>
    <n v="20000"/>
    <x v="3"/>
    <x v="3"/>
    <x v="3"/>
    <s v="Yes"/>
    <n v="2"/>
    <x v="0"/>
    <x v="0"/>
    <x v="21"/>
    <x v="0"/>
  </r>
  <r>
    <n v="11738"/>
    <x v="0"/>
    <x v="1"/>
    <n v="60000"/>
    <x v="5"/>
    <x v="0"/>
    <x v="2"/>
    <s v="Yes"/>
    <n v="0"/>
    <x v="1"/>
    <x v="2"/>
    <x v="30"/>
    <x v="0"/>
  </r>
  <r>
    <n v="25065"/>
    <x v="0"/>
    <x v="1"/>
    <n v="70000"/>
    <x v="4"/>
    <x v="3"/>
    <x v="0"/>
    <s v="Yes"/>
    <n v="2"/>
    <x v="2"/>
    <x v="2"/>
    <x v="28"/>
    <x v="0"/>
  </r>
  <r>
    <n v="26238"/>
    <x v="1"/>
    <x v="0"/>
    <n v="40000"/>
    <x v="1"/>
    <x v="1"/>
    <x v="1"/>
    <s v="Yes"/>
    <n v="1"/>
    <x v="3"/>
    <x v="2"/>
    <x v="23"/>
    <x v="1"/>
  </r>
  <r>
    <n v="23707"/>
    <x v="1"/>
    <x v="1"/>
    <n v="70000"/>
    <x v="2"/>
    <x v="0"/>
    <x v="4"/>
    <s v="Yes"/>
    <n v="3"/>
    <x v="4"/>
    <x v="2"/>
    <x v="2"/>
    <x v="1"/>
  </r>
  <r>
    <n v="27650"/>
    <x v="0"/>
    <x v="1"/>
    <n v="70000"/>
    <x v="5"/>
    <x v="2"/>
    <x v="2"/>
    <s v="Yes"/>
    <n v="0"/>
    <x v="2"/>
    <x v="2"/>
    <x v="36"/>
    <x v="0"/>
  </r>
  <r>
    <n v="24981"/>
    <x v="0"/>
    <x v="1"/>
    <n v="60000"/>
    <x v="4"/>
    <x v="1"/>
    <x v="2"/>
    <s v="Yes"/>
    <n v="2"/>
    <x v="4"/>
    <x v="2"/>
    <x v="16"/>
    <x v="0"/>
  </r>
  <r>
    <n v="20678"/>
    <x v="1"/>
    <x v="0"/>
    <n v="60000"/>
    <x v="1"/>
    <x v="0"/>
    <x v="0"/>
    <s v="Yes"/>
    <n v="1"/>
    <x v="1"/>
    <x v="2"/>
    <x v="8"/>
    <x v="1"/>
  </r>
  <r>
    <n v="15302"/>
    <x v="1"/>
    <x v="0"/>
    <n v="70000"/>
    <x v="0"/>
    <x v="4"/>
    <x v="2"/>
    <s v="Yes"/>
    <n v="0"/>
    <x v="1"/>
    <x v="2"/>
    <x v="17"/>
    <x v="1"/>
  </r>
  <r>
    <n v="26012"/>
    <x v="0"/>
    <x v="1"/>
    <n v="80000"/>
    <x v="0"/>
    <x v="1"/>
    <x v="0"/>
    <s v="Yes"/>
    <n v="1"/>
    <x v="1"/>
    <x v="2"/>
    <x v="28"/>
    <x v="1"/>
  </r>
  <r>
    <n v="26575"/>
    <x v="1"/>
    <x v="0"/>
    <n v="40000"/>
    <x v="3"/>
    <x v="2"/>
    <x v="0"/>
    <s v="No"/>
    <n v="2"/>
    <x v="3"/>
    <x v="2"/>
    <x v="23"/>
    <x v="1"/>
  </r>
  <r>
    <n v="15559"/>
    <x v="0"/>
    <x v="1"/>
    <n v="60000"/>
    <x v="2"/>
    <x v="0"/>
    <x v="2"/>
    <s v="Yes"/>
    <n v="1"/>
    <x v="1"/>
    <x v="2"/>
    <x v="15"/>
    <x v="0"/>
  </r>
  <r>
    <n v="19235"/>
    <x v="0"/>
    <x v="0"/>
    <n v="50000"/>
    <x v="3"/>
    <x v="4"/>
    <x v="0"/>
    <s v="Yes"/>
    <n v="0"/>
    <x v="0"/>
    <x v="2"/>
    <x v="17"/>
    <x v="0"/>
  </r>
  <r>
    <n v="15275"/>
    <x v="0"/>
    <x v="1"/>
    <n v="40000"/>
    <x v="3"/>
    <x v="1"/>
    <x v="0"/>
    <s v="Yes"/>
    <n v="1"/>
    <x v="2"/>
    <x v="2"/>
    <x v="19"/>
    <x v="0"/>
  </r>
  <r>
    <n v="20339"/>
    <x v="0"/>
    <x v="0"/>
    <n v="130000"/>
    <x v="0"/>
    <x v="0"/>
    <x v="4"/>
    <s v="Yes"/>
    <n v="4"/>
    <x v="1"/>
    <x v="2"/>
    <x v="20"/>
    <x v="1"/>
  </r>
  <r>
    <n v="25405"/>
    <x v="0"/>
    <x v="1"/>
    <n v="70000"/>
    <x v="4"/>
    <x v="0"/>
    <x v="0"/>
    <s v="Yes"/>
    <n v="1"/>
    <x v="1"/>
    <x v="2"/>
    <x v="13"/>
    <x v="1"/>
  </r>
  <r>
    <n v="15940"/>
    <x v="0"/>
    <x v="1"/>
    <n v="100000"/>
    <x v="5"/>
    <x v="1"/>
    <x v="2"/>
    <s v="Yes"/>
    <n v="4"/>
    <x v="0"/>
    <x v="2"/>
    <x v="8"/>
    <x v="0"/>
  </r>
  <r>
    <n v="25074"/>
    <x v="0"/>
    <x v="0"/>
    <n v="70000"/>
    <x v="5"/>
    <x v="0"/>
    <x v="2"/>
    <s v="Yes"/>
    <n v="2"/>
    <x v="1"/>
    <x v="2"/>
    <x v="0"/>
    <x v="1"/>
  </r>
  <r>
    <n v="24738"/>
    <x v="0"/>
    <x v="0"/>
    <n v="40000"/>
    <x v="0"/>
    <x v="1"/>
    <x v="1"/>
    <s v="Yes"/>
    <n v="1"/>
    <x v="3"/>
    <x v="2"/>
    <x v="36"/>
    <x v="1"/>
  </r>
  <r>
    <n v="16337"/>
    <x v="0"/>
    <x v="1"/>
    <n v="60000"/>
    <x v="3"/>
    <x v="1"/>
    <x v="0"/>
    <s v="No"/>
    <n v="2"/>
    <x v="3"/>
    <x v="2"/>
    <x v="19"/>
    <x v="0"/>
  </r>
  <r>
    <n v="24357"/>
    <x v="0"/>
    <x v="1"/>
    <n v="80000"/>
    <x v="1"/>
    <x v="0"/>
    <x v="2"/>
    <s v="Yes"/>
    <n v="1"/>
    <x v="1"/>
    <x v="2"/>
    <x v="28"/>
    <x v="1"/>
  </r>
  <r>
    <n v="18613"/>
    <x v="1"/>
    <x v="1"/>
    <n v="70000"/>
    <x v="3"/>
    <x v="0"/>
    <x v="2"/>
    <s v="No"/>
    <n v="1"/>
    <x v="1"/>
    <x v="2"/>
    <x v="34"/>
    <x v="1"/>
  </r>
  <r>
    <n v="12207"/>
    <x v="1"/>
    <x v="1"/>
    <n v="80000"/>
    <x v="5"/>
    <x v="0"/>
    <x v="4"/>
    <s v="Yes"/>
    <n v="0"/>
    <x v="2"/>
    <x v="2"/>
    <x v="29"/>
    <x v="1"/>
  </r>
  <r>
    <n v="18052"/>
    <x v="0"/>
    <x v="0"/>
    <n v="60000"/>
    <x v="0"/>
    <x v="1"/>
    <x v="0"/>
    <s v="Yes"/>
    <n v="1"/>
    <x v="0"/>
    <x v="2"/>
    <x v="12"/>
    <x v="1"/>
  </r>
  <r>
    <n v="13353"/>
    <x v="1"/>
    <x v="0"/>
    <n v="60000"/>
    <x v="5"/>
    <x v="4"/>
    <x v="4"/>
    <s v="Yes"/>
    <n v="2"/>
    <x v="4"/>
    <x v="2"/>
    <x v="33"/>
    <x v="1"/>
  </r>
  <r>
    <n v="19399"/>
    <x v="1"/>
    <x v="1"/>
    <n v="40000"/>
    <x v="3"/>
    <x v="0"/>
    <x v="2"/>
    <s v="No"/>
    <n v="1"/>
    <x v="1"/>
    <x v="2"/>
    <x v="12"/>
    <x v="0"/>
  </r>
  <r>
    <n v="16154"/>
    <x v="0"/>
    <x v="0"/>
    <n v="70000"/>
    <x v="2"/>
    <x v="0"/>
    <x v="2"/>
    <s v="Yes"/>
    <n v="2"/>
    <x v="1"/>
    <x v="2"/>
    <x v="15"/>
    <x v="0"/>
  </r>
  <r>
    <n v="22219"/>
    <x v="0"/>
    <x v="0"/>
    <n v="60000"/>
    <x v="4"/>
    <x v="2"/>
    <x v="2"/>
    <s v="Yes"/>
    <n v="2"/>
    <x v="2"/>
    <x v="2"/>
    <x v="38"/>
    <x v="0"/>
  </r>
  <r>
    <n v="17269"/>
    <x v="1"/>
    <x v="1"/>
    <n v="60000"/>
    <x v="1"/>
    <x v="0"/>
    <x v="2"/>
    <s v="No"/>
    <n v="0"/>
    <x v="0"/>
    <x v="2"/>
    <x v="15"/>
    <x v="1"/>
  </r>
  <r>
    <n v="23586"/>
    <x v="0"/>
    <x v="0"/>
    <n v="80000"/>
    <x v="3"/>
    <x v="0"/>
    <x v="4"/>
    <s v="Yes"/>
    <n v="1"/>
    <x v="3"/>
    <x v="2"/>
    <x v="17"/>
    <x v="1"/>
  </r>
  <r>
    <n v="15740"/>
    <x v="0"/>
    <x v="1"/>
    <n v="80000"/>
    <x v="2"/>
    <x v="0"/>
    <x v="4"/>
    <s v="Yes"/>
    <n v="2"/>
    <x v="3"/>
    <x v="2"/>
    <x v="46"/>
    <x v="0"/>
  </r>
  <r>
    <n v="27638"/>
    <x v="1"/>
    <x v="1"/>
    <n v="100000"/>
    <x v="0"/>
    <x v="1"/>
    <x v="2"/>
    <s v="No"/>
    <n v="3"/>
    <x v="3"/>
    <x v="2"/>
    <x v="20"/>
    <x v="0"/>
  </r>
  <r>
    <n v="18976"/>
    <x v="1"/>
    <x v="1"/>
    <n v="40000"/>
    <x v="5"/>
    <x v="2"/>
    <x v="2"/>
    <s v="Yes"/>
    <n v="2"/>
    <x v="4"/>
    <x v="2"/>
    <x v="24"/>
    <x v="1"/>
  </r>
  <r>
    <n v="19413"/>
    <x v="1"/>
    <x v="1"/>
    <n v="60000"/>
    <x v="1"/>
    <x v="0"/>
    <x v="2"/>
    <s v="No"/>
    <n v="1"/>
    <x v="0"/>
    <x v="2"/>
    <x v="15"/>
    <x v="1"/>
  </r>
  <r>
    <n v="13283"/>
    <x v="0"/>
    <x v="1"/>
    <n v="80000"/>
    <x v="1"/>
    <x v="1"/>
    <x v="2"/>
    <s v="No"/>
    <n v="2"/>
    <x v="0"/>
    <x v="2"/>
    <x v="38"/>
    <x v="1"/>
  </r>
  <r>
    <n v="17471"/>
    <x v="1"/>
    <x v="0"/>
    <n v="80000"/>
    <x v="5"/>
    <x v="4"/>
    <x v="4"/>
    <s v="Yes"/>
    <n v="2"/>
    <x v="2"/>
    <x v="2"/>
    <x v="41"/>
    <x v="0"/>
  </r>
  <r>
    <n v="16791"/>
    <x v="1"/>
    <x v="1"/>
    <n v="60000"/>
    <x v="2"/>
    <x v="0"/>
    <x v="4"/>
    <s v="Yes"/>
    <n v="3"/>
    <x v="4"/>
    <x v="2"/>
    <x v="14"/>
    <x v="1"/>
  </r>
  <r>
    <n v="15382"/>
    <x v="0"/>
    <x v="0"/>
    <n v="110000"/>
    <x v="0"/>
    <x v="0"/>
    <x v="4"/>
    <s v="Yes"/>
    <n v="2"/>
    <x v="3"/>
    <x v="2"/>
    <x v="20"/>
    <x v="0"/>
  </r>
  <r>
    <n v="11641"/>
    <x v="0"/>
    <x v="1"/>
    <n v="50000"/>
    <x v="0"/>
    <x v="0"/>
    <x v="0"/>
    <s v="Yes"/>
    <n v="0"/>
    <x v="0"/>
    <x v="2"/>
    <x v="4"/>
    <x v="0"/>
  </r>
  <r>
    <n v="11935"/>
    <x v="1"/>
    <x v="0"/>
    <n v="30000"/>
    <x v="3"/>
    <x v="1"/>
    <x v="0"/>
    <s v="Yes"/>
    <n v="1"/>
    <x v="2"/>
    <x v="2"/>
    <x v="26"/>
    <x v="0"/>
  </r>
  <r>
    <n v="13233"/>
    <x v="0"/>
    <x v="1"/>
    <n v="60000"/>
    <x v="4"/>
    <x v="1"/>
    <x v="2"/>
    <s v="Yes"/>
    <n v="1"/>
    <x v="4"/>
    <x v="2"/>
    <x v="42"/>
    <x v="1"/>
  </r>
  <r>
    <n v="25909"/>
    <x v="0"/>
    <x v="1"/>
    <n v="60000"/>
    <x v="3"/>
    <x v="1"/>
    <x v="0"/>
    <s v="Yes"/>
    <n v="1"/>
    <x v="2"/>
    <x v="2"/>
    <x v="40"/>
    <x v="1"/>
  </r>
  <r>
    <n v="14092"/>
    <x v="1"/>
    <x v="1"/>
    <n v="30000"/>
    <x v="3"/>
    <x v="3"/>
    <x v="1"/>
    <s v="Yes"/>
    <n v="2"/>
    <x v="2"/>
    <x v="2"/>
    <x v="26"/>
    <x v="0"/>
  </r>
  <r>
    <n v="29143"/>
    <x v="1"/>
    <x v="0"/>
    <n v="60000"/>
    <x v="0"/>
    <x v="0"/>
    <x v="2"/>
    <s v="No"/>
    <n v="1"/>
    <x v="0"/>
    <x v="2"/>
    <x v="20"/>
    <x v="1"/>
  </r>
  <r>
    <n v="24941"/>
    <x v="0"/>
    <x v="1"/>
    <n v="60000"/>
    <x v="1"/>
    <x v="0"/>
    <x v="4"/>
    <s v="Yes"/>
    <n v="2"/>
    <x v="4"/>
    <x v="2"/>
    <x v="29"/>
    <x v="0"/>
  </r>
  <r>
    <n v="24637"/>
    <x v="0"/>
    <x v="1"/>
    <n v="40000"/>
    <x v="5"/>
    <x v="2"/>
    <x v="2"/>
    <s v="Yes"/>
    <n v="2"/>
    <x v="4"/>
    <x v="2"/>
    <x v="46"/>
    <x v="0"/>
  </r>
  <r>
    <n v="23893"/>
    <x v="0"/>
    <x v="1"/>
    <n v="50000"/>
    <x v="1"/>
    <x v="0"/>
    <x v="0"/>
    <s v="Yes"/>
    <n v="3"/>
    <x v="4"/>
    <x v="2"/>
    <x v="3"/>
    <x v="0"/>
  </r>
  <r>
    <n v="13907"/>
    <x v="1"/>
    <x v="0"/>
    <n v="80000"/>
    <x v="1"/>
    <x v="0"/>
    <x v="0"/>
    <s v="Yes"/>
    <n v="1"/>
    <x v="0"/>
    <x v="2"/>
    <x v="3"/>
    <x v="1"/>
  </r>
  <r>
    <n v="14900"/>
    <x v="0"/>
    <x v="0"/>
    <n v="40000"/>
    <x v="0"/>
    <x v="1"/>
    <x v="1"/>
    <s v="Yes"/>
    <n v="1"/>
    <x v="3"/>
    <x v="2"/>
    <x v="38"/>
    <x v="1"/>
  </r>
  <r>
    <n v="11262"/>
    <x v="0"/>
    <x v="0"/>
    <n v="80000"/>
    <x v="5"/>
    <x v="0"/>
    <x v="4"/>
    <s v="Yes"/>
    <n v="0"/>
    <x v="0"/>
    <x v="2"/>
    <x v="0"/>
    <x v="0"/>
  </r>
  <r>
    <n v="22294"/>
    <x v="1"/>
    <x v="0"/>
    <n v="70000"/>
    <x v="3"/>
    <x v="0"/>
    <x v="2"/>
    <s v="No"/>
    <n v="1"/>
    <x v="1"/>
    <x v="2"/>
    <x v="34"/>
    <x v="1"/>
  </r>
  <r>
    <n v="12195"/>
    <x v="1"/>
    <x v="0"/>
    <n v="70000"/>
    <x v="1"/>
    <x v="4"/>
    <x v="4"/>
    <s v="Yes"/>
    <n v="2"/>
    <x v="3"/>
    <x v="2"/>
    <x v="31"/>
    <x v="0"/>
  </r>
  <r>
    <n v="25375"/>
    <x v="0"/>
    <x v="1"/>
    <n v="50000"/>
    <x v="0"/>
    <x v="4"/>
    <x v="0"/>
    <s v="Yes"/>
    <n v="0"/>
    <x v="3"/>
    <x v="2"/>
    <x v="17"/>
    <x v="0"/>
  </r>
  <r>
    <n v="11143"/>
    <x v="0"/>
    <x v="1"/>
    <n v="40000"/>
    <x v="3"/>
    <x v="2"/>
    <x v="0"/>
    <s v="Yes"/>
    <n v="2"/>
    <x v="2"/>
    <x v="2"/>
    <x v="19"/>
    <x v="0"/>
  </r>
  <r>
    <n v="25898"/>
    <x v="0"/>
    <x v="0"/>
    <n v="70000"/>
    <x v="4"/>
    <x v="2"/>
    <x v="2"/>
    <s v="Yes"/>
    <n v="2"/>
    <x v="1"/>
    <x v="2"/>
    <x v="39"/>
    <x v="0"/>
  </r>
  <r>
    <n v="24397"/>
    <x v="1"/>
    <x v="1"/>
    <n v="120000"/>
    <x v="4"/>
    <x v="0"/>
    <x v="4"/>
    <s v="No"/>
    <n v="4"/>
    <x v="3"/>
    <x v="2"/>
    <x v="8"/>
    <x v="0"/>
  </r>
  <r>
    <n v="19758"/>
    <x v="1"/>
    <x v="1"/>
    <n v="60000"/>
    <x v="3"/>
    <x v="1"/>
    <x v="0"/>
    <s v="No"/>
    <n v="2"/>
    <x v="3"/>
    <x v="2"/>
    <x v="19"/>
    <x v="0"/>
  </r>
  <r>
    <n v="15529"/>
    <x v="0"/>
    <x v="1"/>
    <n v="60000"/>
    <x v="5"/>
    <x v="0"/>
    <x v="2"/>
    <s v="Yes"/>
    <n v="2"/>
    <x v="1"/>
    <x v="2"/>
    <x v="1"/>
    <x v="1"/>
  </r>
  <r>
    <n v="19884"/>
    <x v="0"/>
    <x v="1"/>
    <n v="60000"/>
    <x v="4"/>
    <x v="2"/>
    <x v="2"/>
    <s v="Yes"/>
    <n v="2"/>
    <x v="1"/>
    <x v="2"/>
    <x v="10"/>
    <x v="1"/>
  </r>
  <r>
    <n v="18674"/>
    <x v="1"/>
    <x v="0"/>
    <n v="80000"/>
    <x v="5"/>
    <x v="4"/>
    <x v="0"/>
    <s v="No"/>
    <n v="0"/>
    <x v="0"/>
    <x v="2"/>
    <x v="28"/>
    <x v="0"/>
  </r>
  <r>
    <n v="13453"/>
    <x v="0"/>
    <x v="0"/>
    <n v="130000"/>
    <x v="1"/>
    <x v="0"/>
    <x v="4"/>
    <s v="Yes"/>
    <n v="3"/>
    <x v="0"/>
    <x v="2"/>
    <x v="12"/>
    <x v="1"/>
  </r>
  <r>
    <n v="14063"/>
    <x v="1"/>
    <x v="0"/>
    <n v="70000"/>
    <x v="3"/>
    <x v="0"/>
    <x v="2"/>
    <s v="No"/>
    <n v="1"/>
    <x v="0"/>
    <x v="1"/>
    <x v="0"/>
    <x v="1"/>
  </r>
  <r>
    <n v="27393"/>
    <x v="0"/>
    <x v="0"/>
    <n v="50000"/>
    <x v="5"/>
    <x v="0"/>
    <x v="4"/>
    <s v="Yes"/>
    <n v="2"/>
    <x v="4"/>
    <x v="2"/>
    <x v="18"/>
    <x v="0"/>
  </r>
  <r>
    <n v="14417"/>
    <x v="1"/>
    <x v="1"/>
    <n v="60000"/>
    <x v="1"/>
    <x v="2"/>
    <x v="2"/>
    <s v="Yes"/>
    <n v="2"/>
    <x v="4"/>
    <x v="2"/>
    <x v="9"/>
    <x v="1"/>
  </r>
  <r>
    <n v="17533"/>
    <x v="0"/>
    <x v="1"/>
    <n v="40000"/>
    <x v="1"/>
    <x v="1"/>
    <x v="2"/>
    <s v="No"/>
    <n v="2"/>
    <x v="2"/>
    <x v="2"/>
    <x v="49"/>
    <x v="1"/>
  </r>
  <r>
    <n v="18580"/>
    <x v="0"/>
    <x v="0"/>
    <n v="60000"/>
    <x v="4"/>
    <x v="4"/>
    <x v="2"/>
    <s v="Yes"/>
    <n v="0"/>
    <x v="1"/>
    <x v="2"/>
    <x v="8"/>
    <x v="1"/>
  </r>
  <r>
    <n v="17025"/>
    <x v="1"/>
    <x v="1"/>
    <n v="50000"/>
    <x v="3"/>
    <x v="1"/>
    <x v="0"/>
    <s v="No"/>
    <n v="1"/>
    <x v="1"/>
    <x v="2"/>
    <x v="32"/>
    <x v="1"/>
  </r>
  <r>
    <n v="25293"/>
    <x v="0"/>
    <x v="1"/>
    <n v="80000"/>
    <x v="5"/>
    <x v="0"/>
    <x v="4"/>
    <s v="Yes"/>
    <n v="0"/>
    <x v="3"/>
    <x v="2"/>
    <x v="0"/>
    <x v="0"/>
  </r>
  <r>
    <n v="24725"/>
    <x v="0"/>
    <x v="0"/>
    <n v="40000"/>
    <x v="1"/>
    <x v="1"/>
    <x v="1"/>
    <s v="Yes"/>
    <n v="0"/>
    <x v="3"/>
    <x v="2"/>
    <x v="23"/>
    <x v="0"/>
  </r>
  <r>
    <n v="23200"/>
    <x v="0"/>
    <x v="0"/>
    <n v="50000"/>
    <x v="1"/>
    <x v="0"/>
    <x v="0"/>
    <s v="Yes"/>
    <n v="2"/>
    <x v="0"/>
    <x v="2"/>
    <x v="3"/>
    <x v="0"/>
  </r>
  <r>
    <n v="15895"/>
    <x v="1"/>
    <x v="0"/>
    <n v="60000"/>
    <x v="4"/>
    <x v="0"/>
    <x v="4"/>
    <s v="Yes"/>
    <n v="0"/>
    <x v="4"/>
    <x v="2"/>
    <x v="7"/>
    <x v="0"/>
  </r>
  <r>
    <n v="18577"/>
    <x v="0"/>
    <x v="0"/>
    <n v="60000"/>
    <x v="3"/>
    <x v="4"/>
    <x v="2"/>
    <s v="Yes"/>
    <n v="0"/>
    <x v="0"/>
    <x v="2"/>
    <x v="8"/>
    <x v="0"/>
  </r>
  <r>
    <n v="27218"/>
    <x v="0"/>
    <x v="0"/>
    <n v="20000"/>
    <x v="4"/>
    <x v="3"/>
    <x v="1"/>
    <s v="No"/>
    <n v="0"/>
    <x v="0"/>
    <x v="2"/>
    <x v="28"/>
    <x v="0"/>
  </r>
  <r>
    <n v="18560"/>
    <x v="0"/>
    <x v="0"/>
    <n v="70000"/>
    <x v="4"/>
    <x v="4"/>
    <x v="2"/>
    <s v="Yes"/>
    <n v="0"/>
    <x v="1"/>
    <x v="2"/>
    <x v="17"/>
    <x v="1"/>
  </r>
  <r>
    <n v="25006"/>
    <x v="1"/>
    <x v="0"/>
    <n v="30000"/>
    <x v="3"/>
    <x v="1"/>
    <x v="0"/>
    <s v="Yes"/>
    <n v="1"/>
    <x v="2"/>
    <x v="2"/>
    <x v="26"/>
    <x v="0"/>
  </r>
  <r>
    <n v="17369"/>
    <x v="1"/>
    <x v="1"/>
    <n v="30000"/>
    <x v="3"/>
    <x v="1"/>
    <x v="0"/>
    <s v="Yes"/>
    <n v="1"/>
    <x v="2"/>
    <x v="2"/>
    <x v="40"/>
    <x v="0"/>
  </r>
  <r>
    <n v="14495"/>
    <x v="0"/>
    <x v="1"/>
    <n v="40000"/>
    <x v="1"/>
    <x v="1"/>
    <x v="2"/>
    <s v="No"/>
    <n v="2"/>
    <x v="2"/>
    <x v="2"/>
    <x v="9"/>
    <x v="1"/>
  </r>
  <r>
    <n v="18847"/>
    <x v="0"/>
    <x v="0"/>
    <n v="60000"/>
    <x v="4"/>
    <x v="4"/>
    <x v="4"/>
    <s v="Yes"/>
    <n v="2"/>
    <x v="2"/>
    <x v="2"/>
    <x v="43"/>
    <x v="0"/>
  </r>
  <r>
    <n v="14754"/>
    <x v="0"/>
    <x v="1"/>
    <n v="40000"/>
    <x v="0"/>
    <x v="1"/>
    <x v="1"/>
    <s v="Yes"/>
    <n v="1"/>
    <x v="3"/>
    <x v="2"/>
    <x v="28"/>
    <x v="1"/>
  </r>
  <r>
    <n v="23378"/>
    <x v="0"/>
    <x v="1"/>
    <n v="70000"/>
    <x v="0"/>
    <x v="1"/>
    <x v="0"/>
    <s v="Yes"/>
    <n v="1"/>
    <x v="1"/>
    <x v="2"/>
    <x v="20"/>
    <x v="1"/>
  </r>
  <r>
    <n v="26452"/>
    <x v="1"/>
    <x v="1"/>
    <n v="50000"/>
    <x v="1"/>
    <x v="4"/>
    <x v="4"/>
    <s v="Yes"/>
    <n v="2"/>
    <x v="4"/>
    <x v="2"/>
    <x v="45"/>
    <x v="0"/>
  </r>
  <r>
    <n v="20370"/>
    <x v="0"/>
    <x v="1"/>
    <n v="70000"/>
    <x v="1"/>
    <x v="3"/>
    <x v="0"/>
    <s v="Yes"/>
    <n v="2"/>
    <x v="2"/>
    <x v="2"/>
    <x v="31"/>
    <x v="0"/>
  </r>
  <r>
    <n v="20528"/>
    <x v="0"/>
    <x v="1"/>
    <n v="40000"/>
    <x v="4"/>
    <x v="3"/>
    <x v="0"/>
    <s v="Yes"/>
    <n v="2"/>
    <x v="1"/>
    <x v="2"/>
    <x v="10"/>
    <x v="0"/>
  </r>
  <r>
    <n v="23549"/>
    <x v="1"/>
    <x v="1"/>
    <n v="30000"/>
    <x v="3"/>
    <x v="2"/>
    <x v="0"/>
    <s v="Yes"/>
    <n v="2"/>
    <x v="2"/>
    <x v="2"/>
    <x v="25"/>
    <x v="0"/>
  </r>
  <r>
    <n v="21751"/>
    <x v="0"/>
    <x v="1"/>
    <n v="60000"/>
    <x v="1"/>
    <x v="4"/>
    <x v="4"/>
    <s v="Yes"/>
    <n v="2"/>
    <x v="3"/>
    <x v="2"/>
    <x v="18"/>
    <x v="0"/>
  </r>
  <r>
    <n v="21266"/>
    <x v="1"/>
    <x v="0"/>
    <n v="80000"/>
    <x v="3"/>
    <x v="0"/>
    <x v="4"/>
    <s v="Yes"/>
    <n v="1"/>
    <x v="3"/>
    <x v="2"/>
    <x v="17"/>
    <x v="1"/>
  </r>
  <r>
    <n v="13388"/>
    <x v="1"/>
    <x v="1"/>
    <n v="60000"/>
    <x v="4"/>
    <x v="1"/>
    <x v="2"/>
    <s v="Yes"/>
    <n v="1"/>
    <x v="4"/>
    <x v="2"/>
    <x v="16"/>
    <x v="0"/>
  </r>
  <r>
    <n v="18752"/>
    <x v="1"/>
    <x v="0"/>
    <n v="40000"/>
    <x v="3"/>
    <x v="2"/>
    <x v="0"/>
    <s v="Yes"/>
    <n v="1"/>
    <x v="2"/>
    <x v="2"/>
    <x v="23"/>
    <x v="0"/>
  </r>
  <r>
    <n v="16917"/>
    <x v="0"/>
    <x v="1"/>
    <n v="120000"/>
    <x v="0"/>
    <x v="0"/>
    <x v="4"/>
    <s v="Yes"/>
    <n v="4"/>
    <x v="0"/>
    <x v="2"/>
    <x v="13"/>
    <x v="0"/>
  </r>
  <r>
    <n v="15313"/>
    <x v="0"/>
    <x v="1"/>
    <n v="60000"/>
    <x v="5"/>
    <x v="0"/>
    <x v="4"/>
    <s v="Yes"/>
    <n v="2"/>
    <x v="1"/>
    <x v="2"/>
    <x v="14"/>
    <x v="0"/>
  </r>
  <r>
    <n v="25329"/>
    <x v="1"/>
    <x v="0"/>
    <n v="40000"/>
    <x v="1"/>
    <x v="1"/>
    <x v="1"/>
    <s v="No"/>
    <n v="2"/>
    <x v="0"/>
    <x v="2"/>
    <x v="21"/>
    <x v="0"/>
  </r>
  <r>
    <n v="20380"/>
    <x v="0"/>
    <x v="0"/>
    <n v="60000"/>
    <x v="1"/>
    <x v="4"/>
    <x v="4"/>
    <s v="Yes"/>
    <n v="2"/>
    <x v="4"/>
    <x v="2"/>
    <x v="45"/>
    <x v="0"/>
  </r>
  <r>
    <n v="23089"/>
    <x v="0"/>
    <x v="1"/>
    <n v="40000"/>
    <x v="3"/>
    <x v="1"/>
    <x v="0"/>
    <s v="Yes"/>
    <n v="1"/>
    <x v="2"/>
    <x v="2"/>
    <x v="26"/>
    <x v="0"/>
  </r>
  <r>
    <n v="13749"/>
    <x v="0"/>
    <x v="1"/>
    <n v="80000"/>
    <x v="5"/>
    <x v="4"/>
    <x v="0"/>
    <s v="Yes"/>
    <n v="0"/>
    <x v="3"/>
    <x v="2"/>
    <x v="15"/>
    <x v="0"/>
  </r>
  <r>
    <n v="24943"/>
    <x v="0"/>
    <x v="1"/>
    <n v="60000"/>
    <x v="1"/>
    <x v="0"/>
    <x v="4"/>
    <s v="Yes"/>
    <n v="2"/>
    <x v="4"/>
    <x v="2"/>
    <x v="29"/>
    <x v="0"/>
  </r>
  <r>
    <n v="28667"/>
    <x v="1"/>
    <x v="1"/>
    <n v="70000"/>
    <x v="4"/>
    <x v="0"/>
    <x v="0"/>
    <s v="No"/>
    <n v="1"/>
    <x v="0"/>
    <x v="2"/>
    <x v="34"/>
    <x v="1"/>
  </r>
  <r>
    <n v="15194"/>
    <x v="1"/>
    <x v="1"/>
    <n v="120000"/>
    <x v="4"/>
    <x v="0"/>
    <x v="4"/>
    <s v="No"/>
    <n v="3"/>
    <x v="0"/>
    <x v="2"/>
    <x v="32"/>
    <x v="1"/>
  </r>
  <r>
    <n v="17436"/>
    <x v="0"/>
    <x v="1"/>
    <n v="60000"/>
    <x v="4"/>
    <x v="2"/>
    <x v="2"/>
    <s v="No"/>
    <n v="2"/>
    <x v="3"/>
    <x v="2"/>
    <x v="36"/>
    <x v="0"/>
  </r>
  <r>
    <n v="18935"/>
    <x v="0"/>
    <x v="0"/>
    <n v="130000"/>
    <x v="3"/>
    <x v="4"/>
    <x v="4"/>
    <s v="Yes"/>
    <n v="3"/>
    <x v="3"/>
    <x v="2"/>
    <x v="8"/>
    <x v="0"/>
  </r>
  <r>
    <n v="16871"/>
    <x v="0"/>
    <x v="0"/>
    <n v="90000"/>
    <x v="4"/>
    <x v="2"/>
    <x v="2"/>
    <s v="Yes"/>
    <n v="1"/>
    <x v="4"/>
    <x v="2"/>
    <x v="36"/>
    <x v="1"/>
  </r>
  <r>
    <n v="12100"/>
    <x v="1"/>
    <x v="1"/>
    <n v="60000"/>
    <x v="4"/>
    <x v="0"/>
    <x v="4"/>
    <s v="Yes"/>
    <n v="0"/>
    <x v="4"/>
    <x v="2"/>
    <x v="42"/>
    <x v="0"/>
  </r>
  <r>
    <n v="23158"/>
    <x v="0"/>
    <x v="0"/>
    <n v="60000"/>
    <x v="0"/>
    <x v="4"/>
    <x v="2"/>
    <s v="No"/>
    <n v="0"/>
    <x v="0"/>
    <x v="2"/>
    <x v="11"/>
    <x v="1"/>
  </r>
  <r>
    <n v="18545"/>
    <x v="0"/>
    <x v="1"/>
    <n v="40000"/>
    <x v="5"/>
    <x v="2"/>
    <x v="2"/>
    <s v="No"/>
    <n v="2"/>
    <x v="4"/>
    <x v="2"/>
    <x v="33"/>
    <x v="1"/>
  </r>
  <r>
    <n v="18391"/>
    <x v="1"/>
    <x v="0"/>
    <n v="80000"/>
    <x v="2"/>
    <x v="1"/>
    <x v="2"/>
    <s v="Yes"/>
    <n v="2"/>
    <x v="2"/>
    <x v="2"/>
    <x v="20"/>
    <x v="0"/>
  </r>
  <r>
    <n v="19812"/>
    <x v="1"/>
    <x v="0"/>
    <n v="70000"/>
    <x v="4"/>
    <x v="1"/>
    <x v="2"/>
    <s v="Yes"/>
    <n v="0"/>
    <x v="2"/>
    <x v="2"/>
    <x v="38"/>
    <x v="1"/>
  </r>
  <r>
    <n v="27660"/>
    <x v="0"/>
    <x v="1"/>
    <n v="80000"/>
    <x v="5"/>
    <x v="4"/>
    <x v="4"/>
    <s v="Yes"/>
    <n v="2"/>
    <x v="2"/>
    <x v="2"/>
    <x v="43"/>
    <x v="0"/>
  </r>
  <r>
    <n v="18058"/>
    <x v="1"/>
    <x v="0"/>
    <n v="20000"/>
    <x v="1"/>
    <x v="2"/>
    <x v="0"/>
    <s v="Yes"/>
    <n v="2"/>
    <x v="1"/>
    <x v="2"/>
    <x v="44"/>
    <x v="0"/>
  </r>
  <r>
    <n v="20343"/>
    <x v="0"/>
    <x v="0"/>
    <n v="90000"/>
    <x v="5"/>
    <x v="1"/>
    <x v="2"/>
    <s v="Yes"/>
    <n v="1"/>
    <x v="3"/>
    <x v="2"/>
    <x v="12"/>
    <x v="0"/>
  </r>
  <r>
    <n v="28997"/>
    <x v="1"/>
    <x v="1"/>
    <n v="40000"/>
    <x v="4"/>
    <x v="2"/>
    <x v="2"/>
    <s v="No"/>
    <n v="1"/>
    <x v="1"/>
    <x v="2"/>
    <x v="7"/>
    <x v="1"/>
  </r>
  <r>
    <n v="24398"/>
    <x v="0"/>
    <x v="1"/>
    <n v="130000"/>
    <x v="0"/>
    <x v="4"/>
    <x v="4"/>
    <s v="Yes"/>
    <n v="4"/>
    <x v="0"/>
    <x v="2"/>
    <x v="3"/>
    <x v="0"/>
  </r>
  <r>
    <n v="19002"/>
    <x v="0"/>
    <x v="0"/>
    <n v="60000"/>
    <x v="4"/>
    <x v="1"/>
    <x v="2"/>
    <s v="Yes"/>
    <n v="1"/>
    <x v="1"/>
    <x v="2"/>
    <x v="42"/>
    <x v="1"/>
  </r>
  <r>
    <n v="28609"/>
    <x v="0"/>
    <x v="1"/>
    <n v="30000"/>
    <x v="4"/>
    <x v="2"/>
    <x v="0"/>
    <s v="No"/>
    <n v="2"/>
    <x v="0"/>
    <x v="2"/>
    <x v="38"/>
    <x v="0"/>
  </r>
  <r>
    <n v="29231"/>
    <x v="1"/>
    <x v="1"/>
    <n v="80000"/>
    <x v="5"/>
    <x v="1"/>
    <x v="2"/>
    <s v="No"/>
    <n v="2"/>
    <x v="0"/>
    <x v="2"/>
    <x v="1"/>
    <x v="0"/>
  </r>
  <r>
    <n v="18858"/>
    <x v="1"/>
    <x v="1"/>
    <n v="60000"/>
    <x v="4"/>
    <x v="3"/>
    <x v="0"/>
    <s v="Yes"/>
    <n v="2"/>
    <x v="2"/>
    <x v="2"/>
    <x v="31"/>
    <x v="1"/>
  </r>
  <r>
    <n v="20000"/>
    <x v="0"/>
    <x v="1"/>
    <n v="60000"/>
    <x v="0"/>
    <x v="4"/>
    <x v="2"/>
    <s v="Yes"/>
    <n v="0"/>
    <x v="0"/>
    <x v="2"/>
    <x v="11"/>
    <x v="1"/>
  </r>
  <r>
    <n v="25261"/>
    <x v="0"/>
    <x v="1"/>
    <n v="40000"/>
    <x v="3"/>
    <x v="2"/>
    <x v="0"/>
    <s v="Yes"/>
    <n v="2"/>
    <x v="2"/>
    <x v="2"/>
    <x v="40"/>
    <x v="0"/>
  </r>
  <r>
    <n v="17458"/>
    <x v="1"/>
    <x v="1"/>
    <n v="70000"/>
    <x v="1"/>
    <x v="2"/>
    <x v="2"/>
    <s v="Yes"/>
    <n v="0"/>
    <x v="2"/>
    <x v="2"/>
    <x v="31"/>
    <x v="1"/>
  </r>
  <r>
    <n v="11644"/>
    <x v="1"/>
    <x v="1"/>
    <n v="40000"/>
    <x v="4"/>
    <x v="0"/>
    <x v="0"/>
    <s v="Yes"/>
    <n v="0"/>
    <x v="1"/>
    <x v="2"/>
    <x v="4"/>
    <x v="0"/>
  </r>
  <r>
    <n v="16145"/>
    <x v="1"/>
    <x v="0"/>
    <n v="70000"/>
    <x v="2"/>
    <x v="4"/>
    <x v="2"/>
    <s v="Yes"/>
    <n v="3"/>
    <x v="4"/>
    <x v="2"/>
    <x v="30"/>
    <x v="1"/>
  </r>
  <r>
    <n v="16890"/>
    <x v="0"/>
    <x v="1"/>
    <n v="60000"/>
    <x v="1"/>
    <x v="3"/>
    <x v="0"/>
    <s v="Yes"/>
    <n v="2"/>
    <x v="2"/>
    <x v="2"/>
    <x v="31"/>
    <x v="1"/>
  </r>
  <r>
    <n v="25983"/>
    <x v="0"/>
    <x v="1"/>
    <n v="70000"/>
    <x v="3"/>
    <x v="0"/>
    <x v="2"/>
    <s v="No"/>
    <n v="1"/>
    <x v="0"/>
    <x v="2"/>
    <x v="1"/>
    <x v="0"/>
  </r>
  <r>
    <n v="14633"/>
    <x v="0"/>
    <x v="1"/>
    <n v="60000"/>
    <x v="0"/>
    <x v="1"/>
    <x v="0"/>
    <s v="Yes"/>
    <n v="1"/>
    <x v="1"/>
    <x v="2"/>
    <x v="20"/>
    <x v="0"/>
  </r>
  <r>
    <n v="22994"/>
    <x v="0"/>
    <x v="0"/>
    <n v="80000"/>
    <x v="3"/>
    <x v="0"/>
    <x v="4"/>
    <s v="Yes"/>
    <n v="1"/>
    <x v="3"/>
    <x v="2"/>
    <x v="17"/>
    <x v="1"/>
  </r>
  <r>
    <n v="22983"/>
    <x v="1"/>
    <x v="0"/>
    <n v="30000"/>
    <x v="3"/>
    <x v="3"/>
    <x v="1"/>
    <s v="Yes"/>
    <n v="2"/>
    <x v="2"/>
    <x v="2"/>
    <x v="40"/>
    <x v="0"/>
  </r>
  <r>
    <n v="25184"/>
    <x v="1"/>
    <x v="1"/>
    <n v="110000"/>
    <x v="0"/>
    <x v="1"/>
    <x v="2"/>
    <s v="Yes"/>
    <n v="4"/>
    <x v="2"/>
    <x v="2"/>
    <x v="12"/>
    <x v="1"/>
  </r>
  <r>
    <n v="14469"/>
    <x v="0"/>
    <x v="0"/>
    <n v="100000"/>
    <x v="1"/>
    <x v="1"/>
    <x v="2"/>
    <s v="Yes"/>
    <n v="4"/>
    <x v="3"/>
    <x v="2"/>
    <x v="12"/>
    <x v="0"/>
  </r>
  <r>
    <n v="11538"/>
    <x v="1"/>
    <x v="0"/>
    <n v="60000"/>
    <x v="5"/>
    <x v="4"/>
    <x v="0"/>
    <s v="No"/>
    <n v="0"/>
    <x v="0"/>
    <x v="2"/>
    <x v="15"/>
    <x v="1"/>
  </r>
  <r>
    <n v="16245"/>
    <x v="1"/>
    <x v="0"/>
    <n v="80000"/>
    <x v="5"/>
    <x v="4"/>
    <x v="0"/>
    <s v="Yes"/>
    <n v="0"/>
    <x v="3"/>
    <x v="2"/>
    <x v="15"/>
    <x v="0"/>
  </r>
  <r>
    <n v="17858"/>
    <x v="0"/>
    <x v="1"/>
    <n v="40000"/>
    <x v="5"/>
    <x v="2"/>
    <x v="0"/>
    <s v="Yes"/>
    <n v="2"/>
    <x v="1"/>
    <x v="2"/>
    <x v="20"/>
    <x v="1"/>
  </r>
  <r>
    <n v="25347"/>
    <x v="1"/>
    <x v="0"/>
    <n v="20000"/>
    <x v="1"/>
    <x v="3"/>
    <x v="1"/>
    <s v="No"/>
    <n v="2"/>
    <x v="0"/>
    <x v="2"/>
    <x v="38"/>
    <x v="0"/>
  </r>
  <r>
    <n v="15814"/>
    <x v="1"/>
    <x v="0"/>
    <n v="40000"/>
    <x v="3"/>
    <x v="2"/>
    <x v="0"/>
    <s v="Yes"/>
    <n v="1"/>
    <x v="2"/>
    <x v="2"/>
    <x v="25"/>
    <x v="0"/>
  </r>
  <r>
    <n v="11259"/>
    <x v="0"/>
    <x v="0"/>
    <n v="100000"/>
    <x v="5"/>
    <x v="1"/>
    <x v="2"/>
    <s v="Yes"/>
    <n v="4"/>
    <x v="1"/>
    <x v="2"/>
    <x v="3"/>
    <x v="1"/>
  </r>
  <r>
    <n v="11200"/>
    <x v="0"/>
    <x v="1"/>
    <n v="70000"/>
    <x v="5"/>
    <x v="0"/>
    <x v="4"/>
    <s v="Yes"/>
    <n v="1"/>
    <x v="3"/>
    <x v="2"/>
    <x v="7"/>
    <x v="0"/>
  </r>
  <r>
    <n v="25101"/>
    <x v="0"/>
    <x v="1"/>
    <n v="60000"/>
    <x v="2"/>
    <x v="0"/>
    <x v="2"/>
    <s v="Yes"/>
    <n v="1"/>
    <x v="1"/>
    <x v="2"/>
    <x v="15"/>
    <x v="0"/>
  </r>
  <r>
    <n v="21801"/>
    <x v="0"/>
    <x v="0"/>
    <n v="70000"/>
    <x v="5"/>
    <x v="1"/>
    <x v="2"/>
    <s v="Yes"/>
    <n v="1"/>
    <x v="3"/>
    <x v="2"/>
    <x v="10"/>
    <x v="0"/>
  </r>
  <r>
    <n v="25943"/>
    <x v="1"/>
    <x v="0"/>
    <n v="70000"/>
    <x v="3"/>
    <x v="1"/>
    <x v="0"/>
    <s v="No"/>
    <n v="2"/>
    <x v="0"/>
    <x v="2"/>
    <x v="40"/>
    <x v="1"/>
  </r>
  <r>
    <n v="22127"/>
    <x v="0"/>
    <x v="1"/>
    <n v="60000"/>
    <x v="1"/>
    <x v="4"/>
    <x v="4"/>
    <s v="Yes"/>
    <n v="2"/>
    <x v="3"/>
    <x v="2"/>
    <x v="41"/>
    <x v="0"/>
  </r>
  <r>
    <n v="20414"/>
    <x v="0"/>
    <x v="0"/>
    <n v="60000"/>
    <x v="3"/>
    <x v="1"/>
    <x v="0"/>
    <s v="Yes"/>
    <n v="2"/>
    <x v="2"/>
    <x v="2"/>
    <x v="19"/>
    <x v="0"/>
  </r>
  <r>
    <n v="23672"/>
    <x v="0"/>
    <x v="0"/>
    <n v="60000"/>
    <x v="1"/>
    <x v="4"/>
    <x v="4"/>
    <s v="Yes"/>
    <n v="2"/>
    <x v="3"/>
    <x v="2"/>
    <x v="41"/>
    <x v="0"/>
  </r>
  <r>
    <n v="29255"/>
    <x v="1"/>
    <x v="1"/>
    <n v="80000"/>
    <x v="1"/>
    <x v="1"/>
    <x v="2"/>
    <s v="No"/>
    <n v="1"/>
    <x v="3"/>
    <x v="2"/>
    <x v="36"/>
    <x v="1"/>
  </r>
  <r>
    <n v="28815"/>
    <x v="0"/>
    <x v="0"/>
    <n v="50000"/>
    <x v="0"/>
    <x v="4"/>
    <x v="0"/>
    <s v="Yes"/>
    <n v="0"/>
    <x v="0"/>
    <x v="2"/>
    <x v="11"/>
    <x v="0"/>
  </r>
  <r>
    <n v="27753"/>
    <x v="0"/>
    <x v="1"/>
    <n v="40000"/>
    <x v="3"/>
    <x v="2"/>
    <x v="0"/>
    <s v="No"/>
    <n v="2"/>
    <x v="3"/>
    <x v="2"/>
    <x v="25"/>
    <x v="0"/>
  </r>
  <r>
    <n v="27643"/>
    <x v="1"/>
    <x v="1"/>
    <n v="70000"/>
    <x v="2"/>
    <x v="1"/>
    <x v="2"/>
    <s v="Yes"/>
    <n v="3"/>
    <x v="1"/>
    <x v="2"/>
    <x v="20"/>
    <x v="0"/>
  </r>
  <r>
    <n v="13754"/>
    <x v="1"/>
    <x v="0"/>
    <n v="80000"/>
    <x v="5"/>
    <x v="4"/>
    <x v="0"/>
    <s v="Yes"/>
    <n v="0"/>
    <x v="3"/>
    <x v="2"/>
    <x v="28"/>
    <x v="0"/>
  </r>
  <r>
    <n v="22088"/>
    <x v="0"/>
    <x v="0"/>
    <n v="130000"/>
    <x v="0"/>
    <x v="0"/>
    <x v="4"/>
    <s v="Yes"/>
    <n v="2"/>
    <x v="0"/>
    <x v="2"/>
    <x v="12"/>
    <x v="1"/>
  </r>
  <r>
    <n v="27388"/>
    <x v="0"/>
    <x v="1"/>
    <n v="60000"/>
    <x v="1"/>
    <x v="0"/>
    <x v="4"/>
    <s v="No"/>
    <n v="2"/>
    <x v="3"/>
    <x v="2"/>
    <x v="29"/>
    <x v="0"/>
  </r>
  <r>
    <n v="24745"/>
    <x v="1"/>
    <x v="0"/>
    <n v="30000"/>
    <x v="4"/>
    <x v="2"/>
    <x v="0"/>
    <s v="No"/>
    <n v="2"/>
    <x v="0"/>
    <x v="2"/>
    <x v="38"/>
    <x v="0"/>
  </r>
  <r>
    <n v="29237"/>
    <x v="1"/>
    <x v="0"/>
    <n v="120000"/>
    <x v="5"/>
    <x v="1"/>
    <x v="2"/>
    <s v="Yes"/>
    <n v="3"/>
    <x v="2"/>
    <x v="2"/>
    <x v="1"/>
    <x v="1"/>
  </r>
  <r>
    <n v="15272"/>
    <x v="1"/>
    <x v="1"/>
    <n v="40000"/>
    <x v="3"/>
    <x v="2"/>
    <x v="0"/>
    <s v="No"/>
    <n v="2"/>
    <x v="3"/>
    <x v="2"/>
    <x v="25"/>
    <x v="0"/>
  </r>
  <r>
    <n v="18949"/>
    <x v="1"/>
    <x v="1"/>
    <n v="70000"/>
    <x v="3"/>
    <x v="4"/>
    <x v="4"/>
    <s v="Yes"/>
    <n v="2"/>
    <x v="2"/>
    <x v="2"/>
    <x v="50"/>
    <x v="1"/>
  </r>
  <r>
    <n v="14507"/>
    <x v="0"/>
    <x v="1"/>
    <n v="100000"/>
    <x v="4"/>
    <x v="4"/>
    <x v="4"/>
    <s v="Yes"/>
    <n v="3"/>
    <x v="3"/>
    <x v="2"/>
    <x v="27"/>
    <x v="0"/>
  </r>
  <r>
    <n v="25886"/>
    <x v="0"/>
    <x v="0"/>
    <n v="60000"/>
    <x v="4"/>
    <x v="1"/>
    <x v="2"/>
    <s v="Yes"/>
    <n v="2"/>
    <x v="1"/>
    <x v="2"/>
    <x v="16"/>
    <x v="1"/>
  </r>
  <r>
    <n v="21441"/>
    <x v="0"/>
    <x v="1"/>
    <n v="50000"/>
    <x v="5"/>
    <x v="0"/>
    <x v="4"/>
    <s v="Yes"/>
    <n v="2"/>
    <x v="4"/>
    <x v="2"/>
    <x v="46"/>
    <x v="0"/>
  </r>
  <r>
    <n v="21741"/>
    <x v="0"/>
    <x v="0"/>
    <n v="70000"/>
    <x v="1"/>
    <x v="1"/>
    <x v="2"/>
    <s v="Yes"/>
    <n v="2"/>
    <x v="2"/>
    <x v="2"/>
    <x v="5"/>
    <x v="1"/>
  </r>
  <r>
    <n v="14572"/>
    <x v="0"/>
    <x v="0"/>
    <n v="70000"/>
    <x v="1"/>
    <x v="4"/>
    <x v="2"/>
    <s v="Yes"/>
    <n v="0"/>
    <x v="1"/>
    <x v="2"/>
    <x v="11"/>
    <x v="1"/>
  </r>
  <r>
    <n v="23368"/>
    <x v="0"/>
    <x v="0"/>
    <n v="60000"/>
    <x v="2"/>
    <x v="0"/>
    <x v="0"/>
    <s v="Yes"/>
    <n v="3"/>
    <x v="4"/>
    <x v="2"/>
    <x v="3"/>
    <x v="0"/>
  </r>
  <r>
    <n v="16217"/>
    <x v="1"/>
    <x v="0"/>
    <n v="60000"/>
    <x v="3"/>
    <x v="4"/>
    <x v="0"/>
    <s v="Yes"/>
    <n v="0"/>
    <x v="0"/>
    <x v="2"/>
    <x v="32"/>
    <x v="0"/>
  </r>
  <r>
    <n v="16247"/>
    <x v="1"/>
    <x v="0"/>
    <n v="60000"/>
    <x v="5"/>
    <x v="4"/>
    <x v="0"/>
    <s v="No"/>
    <n v="0"/>
    <x v="3"/>
    <x v="2"/>
    <x v="15"/>
    <x v="0"/>
  </r>
  <r>
    <n v="22010"/>
    <x v="1"/>
    <x v="1"/>
    <n v="40000"/>
    <x v="3"/>
    <x v="2"/>
    <x v="0"/>
    <s v="Yes"/>
    <n v="2"/>
    <x v="2"/>
    <x v="2"/>
    <x v="23"/>
    <x v="0"/>
  </r>
  <r>
    <n v="25872"/>
    <x v="1"/>
    <x v="0"/>
    <n v="70000"/>
    <x v="4"/>
    <x v="0"/>
    <x v="4"/>
    <s v="No"/>
    <n v="1"/>
    <x v="1"/>
    <x v="2"/>
    <x v="7"/>
    <x v="1"/>
  </r>
  <r>
    <n v="19164"/>
    <x v="1"/>
    <x v="0"/>
    <n v="70000"/>
    <x v="3"/>
    <x v="0"/>
    <x v="2"/>
    <s v="No"/>
    <n v="1"/>
    <x v="1"/>
    <x v="2"/>
    <x v="13"/>
    <x v="1"/>
  </r>
  <r>
    <n v="18435"/>
    <x v="1"/>
    <x v="0"/>
    <n v="70000"/>
    <x v="2"/>
    <x v="4"/>
    <x v="4"/>
    <s v="Yes"/>
    <n v="2"/>
    <x v="4"/>
    <x v="2"/>
    <x v="41"/>
    <x v="1"/>
  </r>
  <r>
    <n v="14284"/>
    <x v="1"/>
    <x v="1"/>
    <n v="60000"/>
    <x v="3"/>
    <x v="1"/>
    <x v="2"/>
    <s v="No"/>
    <n v="2"/>
    <x v="3"/>
    <x v="2"/>
    <x v="21"/>
    <x v="1"/>
  </r>
  <r>
    <n v="11287"/>
    <x v="0"/>
    <x v="1"/>
    <n v="70000"/>
    <x v="2"/>
    <x v="1"/>
    <x v="2"/>
    <s v="No"/>
    <n v="3"/>
    <x v="2"/>
    <x v="2"/>
    <x v="12"/>
    <x v="0"/>
  </r>
  <r>
    <n v="13066"/>
    <x v="1"/>
    <x v="1"/>
    <n v="30000"/>
    <x v="3"/>
    <x v="2"/>
    <x v="0"/>
    <s v="No"/>
    <n v="2"/>
    <x v="3"/>
    <x v="2"/>
    <x v="23"/>
    <x v="1"/>
  </r>
  <r>
    <n v="29106"/>
    <x v="1"/>
    <x v="1"/>
    <n v="40000"/>
    <x v="3"/>
    <x v="2"/>
    <x v="0"/>
    <s v="No"/>
    <n v="2"/>
    <x v="3"/>
    <x v="2"/>
    <x v="23"/>
    <x v="1"/>
  </r>
  <r>
    <n v="26236"/>
    <x v="0"/>
    <x v="0"/>
    <n v="40000"/>
    <x v="1"/>
    <x v="1"/>
    <x v="1"/>
    <s v="Yes"/>
    <n v="1"/>
    <x v="0"/>
    <x v="2"/>
    <x v="23"/>
    <x v="0"/>
  </r>
  <r>
    <n v="17531"/>
    <x v="0"/>
    <x v="1"/>
    <n v="60000"/>
    <x v="4"/>
    <x v="2"/>
    <x v="2"/>
    <s v="No"/>
    <n v="2"/>
    <x v="2"/>
    <x v="2"/>
    <x v="5"/>
    <x v="0"/>
  </r>
  <r>
    <n v="12964"/>
    <x v="0"/>
    <x v="1"/>
    <n v="70000"/>
    <x v="0"/>
    <x v="1"/>
    <x v="0"/>
    <s v="Yes"/>
    <n v="1"/>
    <x v="0"/>
    <x v="2"/>
    <x v="20"/>
    <x v="0"/>
  </r>
  <r>
    <n v="19133"/>
    <x v="1"/>
    <x v="1"/>
    <n v="50000"/>
    <x v="4"/>
    <x v="0"/>
    <x v="0"/>
    <s v="Yes"/>
    <n v="1"/>
    <x v="1"/>
    <x v="2"/>
    <x v="13"/>
    <x v="1"/>
  </r>
  <r>
    <n v="24643"/>
    <x v="1"/>
    <x v="0"/>
    <n v="60000"/>
    <x v="5"/>
    <x v="0"/>
    <x v="4"/>
    <s v="Yes"/>
    <n v="2"/>
    <x v="4"/>
    <x v="2"/>
    <x v="18"/>
    <x v="0"/>
  </r>
  <r>
    <n v="21599"/>
    <x v="0"/>
    <x v="0"/>
    <n v="60000"/>
    <x v="0"/>
    <x v="4"/>
    <x v="2"/>
    <s v="Yes"/>
    <n v="0"/>
    <x v="1"/>
    <x v="2"/>
    <x v="4"/>
    <x v="1"/>
  </r>
  <r>
    <n v="22976"/>
    <x v="1"/>
    <x v="1"/>
    <n v="40000"/>
    <x v="3"/>
    <x v="2"/>
    <x v="0"/>
    <s v="No"/>
    <n v="2"/>
    <x v="0"/>
    <x v="2"/>
    <x v="26"/>
    <x v="1"/>
  </r>
  <r>
    <n v="27637"/>
    <x v="1"/>
    <x v="0"/>
    <n v="100000"/>
    <x v="0"/>
    <x v="1"/>
    <x v="2"/>
    <s v="No"/>
    <n v="3"/>
    <x v="3"/>
    <x v="2"/>
    <x v="20"/>
    <x v="0"/>
  </r>
  <r>
    <n v="11890"/>
    <x v="0"/>
    <x v="0"/>
    <n v="70000"/>
    <x v="2"/>
    <x v="4"/>
    <x v="2"/>
    <s v="Yes"/>
    <n v="1"/>
    <x v="0"/>
    <x v="2"/>
    <x v="15"/>
    <x v="0"/>
  </r>
  <r>
    <n v="28580"/>
    <x v="0"/>
    <x v="0"/>
    <n v="80000"/>
    <x v="3"/>
    <x v="4"/>
    <x v="0"/>
    <s v="Yes"/>
    <n v="0"/>
    <x v="3"/>
    <x v="2"/>
    <x v="8"/>
    <x v="1"/>
  </r>
  <r>
    <n v="14443"/>
    <x v="0"/>
    <x v="1"/>
    <n v="130000"/>
    <x v="0"/>
    <x v="4"/>
    <x v="4"/>
    <s v="Yes"/>
    <n v="4"/>
    <x v="0"/>
    <x v="2"/>
    <x v="8"/>
    <x v="0"/>
  </r>
  <r>
    <n v="17864"/>
    <x v="0"/>
    <x v="0"/>
    <n v="60000"/>
    <x v="0"/>
    <x v="1"/>
    <x v="0"/>
    <s v="Yes"/>
    <n v="1"/>
    <x v="1"/>
    <x v="2"/>
    <x v="30"/>
    <x v="1"/>
  </r>
  <r>
    <n v="20505"/>
    <x v="0"/>
    <x v="0"/>
    <n v="40000"/>
    <x v="2"/>
    <x v="2"/>
    <x v="2"/>
    <s v="No"/>
    <n v="2"/>
    <x v="4"/>
    <x v="2"/>
    <x v="33"/>
    <x v="0"/>
  </r>
  <r>
    <n v="14592"/>
    <x v="0"/>
    <x v="0"/>
    <n v="60000"/>
    <x v="3"/>
    <x v="4"/>
    <x v="2"/>
    <s v="Yes"/>
    <n v="0"/>
    <x v="0"/>
    <x v="2"/>
    <x v="8"/>
    <x v="0"/>
  </r>
  <r>
    <n v="22227"/>
    <x v="0"/>
    <x v="0"/>
    <n v="60000"/>
    <x v="4"/>
    <x v="2"/>
    <x v="2"/>
    <s v="Yes"/>
    <n v="2"/>
    <x v="2"/>
    <x v="2"/>
    <x v="5"/>
    <x v="0"/>
  </r>
  <r>
    <n v="21471"/>
    <x v="0"/>
    <x v="1"/>
    <n v="70000"/>
    <x v="4"/>
    <x v="1"/>
    <x v="2"/>
    <s v="Yes"/>
    <n v="1"/>
    <x v="4"/>
    <x v="2"/>
    <x v="14"/>
    <x v="0"/>
  </r>
  <r>
    <n v="22252"/>
    <x v="1"/>
    <x v="0"/>
    <n v="60000"/>
    <x v="0"/>
    <x v="4"/>
    <x v="2"/>
    <s v="Yes"/>
    <n v="0"/>
    <x v="1"/>
    <x v="2"/>
    <x v="4"/>
    <x v="1"/>
  </r>
  <r>
    <n v="21260"/>
    <x v="1"/>
    <x v="0"/>
    <n v="40000"/>
    <x v="3"/>
    <x v="2"/>
    <x v="0"/>
    <s v="Yes"/>
    <n v="2"/>
    <x v="2"/>
    <x v="2"/>
    <x v="25"/>
    <x v="0"/>
  </r>
  <r>
    <n v="11817"/>
    <x v="1"/>
    <x v="0"/>
    <n v="70000"/>
    <x v="5"/>
    <x v="4"/>
    <x v="2"/>
    <s v="Yes"/>
    <n v="0"/>
    <x v="1"/>
    <x v="2"/>
    <x v="11"/>
    <x v="1"/>
  </r>
  <r>
    <n v="19223"/>
    <x v="0"/>
    <x v="0"/>
    <n v="30000"/>
    <x v="4"/>
    <x v="2"/>
    <x v="0"/>
    <s v="Yes"/>
    <n v="2"/>
    <x v="3"/>
    <x v="2"/>
    <x v="28"/>
    <x v="0"/>
  </r>
  <r>
    <n v="18517"/>
    <x v="0"/>
    <x v="1"/>
    <n v="100000"/>
    <x v="1"/>
    <x v="0"/>
    <x v="4"/>
    <s v="Yes"/>
    <n v="4"/>
    <x v="0"/>
    <x v="2"/>
    <x v="3"/>
    <x v="0"/>
  </r>
  <r>
    <n v="21717"/>
    <x v="0"/>
    <x v="1"/>
    <n v="40000"/>
    <x v="4"/>
    <x v="1"/>
    <x v="1"/>
    <s v="Yes"/>
    <n v="1"/>
    <x v="0"/>
    <x v="2"/>
    <x v="15"/>
    <x v="0"/>
  </r>
  <r>
    <n v="13760"/>
    <x v="0"/>
    <x v="1"/>
    <n v="60000"/>
    <x v="5"/>
    <x v="4"/>
    <x v="0"/>
    <s v="No"/>
    <n v="0"/>
    <x v="0"/>
    <x v="2"/>
    <x v="15"/>
    <x v="0"/>
  </r>
  <r>
    <n v="18145"/>
    <x v="0"/>
    <x v="1"/>
    <n v="80000"/>
    <x v="2"/>
    <x v="0"/>
    <x v="4"/>
    <s v="No"/>
    <n v="2"/>
    <x v="1"/>
    <x v="0"/>
    <x v="24"/>
    <x v="0"/>
  </r>
  <r>
    <n v="21770"/>
    <x v="0"/>
    <x v="1"/>
    <n v="60000"/>
    <x v="5"/>
    <x v="0"/>
    <x v="4"/>
    <s v="Yes"/>
    <n v="2"/>
    <x v="4"/>
    <x v="2"/>
    <x v="2"/>
    <x v="0"/>
  </r>
  <r>
    <n v="11165"/>
    <x v="0"/>
    <x v="0"/>
    <n v="60000"/>
    <x v="3"/>
    <x v="1"/>
    <x v="0"/>
    <s v="No"/>
    <n v="1"/>
    <x v="3"/>
    <x v="2"/>
    <x v="6"/>
    <x v="0"/>
  </r>
  <r>
    <n v="16377"/>
    <x v="1"/>
    <x v="0"/>
    <n v="80000"/>
    <x v="5"/>
    <x v="4"/>
    <x v="0"/>
    <s v="No"/>
    <n v="0"/>
    <x v="0"/>
    <x v="2"/>
    <x v="15"/>
    <x v="0"/>
  </r>
  <r>
    <n v="26248"/>
    <x v="0"/>
    <x v="1"/>
    <n v="20000"/>
    <x v="1"/>
    <x v="3"/>
    <x v="1"/>
    <s v="No"/>
    <n v="2"/>
    <x v="0"/>
    <x v="2"/>
    <x v="31"/>
    <x v="0"/>
  </r>
  <r>
    <n v="23461"/>
    <x v="0"/>
    <x v="0"/>
    <n v="90000"/>
    <x v="2"/>
    <x v="1"/>
    <x v="2"/>
    <s v="Yes"/>
    <n v="3"/>
    <x v="1"/>
    <x v="2"/>
    <x v="8"/>
    <x v="0"/>
  </r>
  <r>
    <n v="29133"/>
    <x v="1"/>
    <x v="0"/>
    <n v="60000"/>
    <x v="5"/>
    <x v="0"/>
    <x v="0"/>
    <s v="No"/>
    <n v="2"/>
    <x v="0"/>
    <x v="2"/>
    <x v="0"/>
    <x v="0"/>
  </r>
  <r>
    <n v="27673"/>
    <x v="1"/>
    <x v="0"/>
    <n v="60000"/>
    <x v="1"/>
    <x v="4"/>
    <x v="4"/>
    <s v="Yes"/>
    <n v="2"/>
    <x v="2"/>
    <x v="2"/>
    <x v="39"/>
    <x v="1"/>
  </r>
  <r>
    <n v="12774"/>
    <x v="0"/>
    <x v="0"/>
    <n v="40000"/>
    <x v="0"/>
    <x v="1"/>
    <x v="1"/>
    <s v="Yes"/>
    <n v="1"/>
    <x v="3"/>
    <x v="2"/>
    <x v="36"/>
    <x v="1"/>
  </r>
  <r>
    <n v="18910"/>
    <x v="1"/>
    <x v="1"/>
    <n v="30000"/>
    <x v="3"/>
    <x v="1"/>
    <x v="0"/>
    <s v="Yes"/>
    <n v="2"/>
    <x v="2"/>
    <x v="2"/>
    <x v="25"/>
    <x v="0"/>
  </r>
  <r>
    <n v="11699"/>
    <x v="1"/>
    <x v="1"/>
    <n v="60000"/>
    <x v="3"/>
    <x v="0"/>
    <x v="0"/>
    <s v="No"/>
    <n v="2"/>
    <x v="0"/>
    <x v="2"/>
    <x v="25"/>
    <x v="0"/>
  </r>
  <r>
    <n v="16725"/>
    <x v="0"/>
    <x v="1"/>
    <n v="30000"/>
    <x v="3"/>
    <x v="2"/>
    <x v="0"/>
    <s v="Yes"/>
    <n v="2"/>
    <x v="2"/>
    <x v="2"/>
    <x v="22"/>
    <x v="0"/>
  </r>
  <r>
    <n v="28269"/>
    <x v="1"/>
    <x v="0"/>
    <n v="130000"/>
    <x v="0"/>
    <x v="0"/>
    <x v="4"/>
    <s v="No"/>
    <n v="1"/>
    <x v="1"/>
    <x v="2"/>
    <x v="12"/>
    <x v="0"/>
  </r>
  <r>
    <n v="23144"/>
    <x v="0"/>
    <x v="1"/>
    <n v="50000"/>
    <x v="0"/>
    <x v="0"/>
    <x v="0"/>
    <s v="Yes"/>
    <n v="0"/>
    <x v="0"/>
    <x v="2"/>
    <x v="17"/>
    <x v="1"/>
  </r>
  <r>
    <n v="23376"/>
    <x v="0"/>
    <x v="1"/>
    <n v="70000"/>
    <x v="0"/>
    <x v="0"/>
    <x v="2"/>
    <s v="Yes"/>
    <n v="1"/>
    <x v="1"/>
    <x v="2"/>
    <x v="20"/>
    <x v="1"/>
  </r>
  <r>
    <n v="25970"/>
    <x v="1"/>
    <x v="0"/>
    <n v="60000"/>
    <x v="5"/>
    <x v="0"/>
    <x v="0"/>
    <s v="No"/>
    <n v="2"/>
    <x v="0"/>
    <x v="2"/>
    <x v="3"/>
    <x v="1"/>
  </r>
  <r>
    <n v="28068"/>
    <x v="1"/>
    <x v="0"/>
    <n v="80000"/>
    <x v="1"/>
    <x v="4"/>
    <x v="2"/>
    <s v="No"/>
    <n v="0"/>
    <x v="0"/>
    <x v="2"/>
    <x v="4"/>
    <x v="1"/>
  </r>
  <r>
    <n v="18390"/>
    <x v="0"/>
    <x v="1"/>
    <n v="80000"/>
    <x v="2"/>
    <x v="1"/>
    <x v="2"/>
    <s v="Yes"/>
    <n v="2"/>
    <x v="0"/>
    <x v="2"/>
    <x v="20"/>
    <x v="0"/>
  </r>
  <r>
    <n v="29112"/>
    <x v="1"/>
    <x v="1"/>
    <n v="60000"/>
    <x v="3"/>
    <x v="1"/>
    <x v="2"/>
    <s v="No"/>
    <n v="2"/>
    <x v="3"/>
    <x v="2"/>
    <x v="25"/>
    <x v="0"/>
  </r>
  <r>
    <n v="14090"/>
    <x v="0"/>
    <x v="0"/>
    <n v="30000"/>
    <x v="3"/>
    <x v="3"/>
    <x v="1"/>
    <s v="No"/>
    <n v="2"/>
    <x v="0"/>
    <x v="2"/>
    <x v="26"/>
    <x v="0"/>
  </r>
  <r>
    <n v="27040"/>
    <x v="0"/>
    <x v="1"/>
    <n v="20000"/>
    <x v="4"/>
    <x v="3"/>
    <x v="1"/>
    <s v="Yes"/>
    <n v="2"/>
    <x v="3"/>
    <x v="2"/>
    <x v="38"/>
    <x v="0"/>
  </r>
  <r>
    <n v="23479"/>
    <x v="1"/>
    <x v="1"/>
    <n v="90000"/>
    <x v="3"/>
    <x v="1"/>
    <x v="2"/>
    <s v="No"/>
    <n v="2"/>
    <x v="0"/>
    <x v="2"/>
    <x v="1"/>
    <x v="1"/>
  </r>
  <r>
    <n v="16795"/>
    <x v="0"/>
    <x v="0"/>
    <n v="70000"/>
    <x v="5"/>
    <x v="0"/>
    <x v="4"/>
    <s v="Yes"/>
    <n v="1"/>
    <x v="3"/>
    <x v="2"/>
    <x v="14"/>
    <x v="0"/>
  </r>
  <r>
    <n v="22014"/>
    <x v="1"/>
    <x v="1"/>
    <n v="30000"/>
    <x v="3"/>
    <x v="2"/>
    <x v="0"/>
    <s v="Yes"/>
    <n v="2"/>
    <x v="2"/>
    <x v="2"/>
    <x v="22"/>
    <x v="0"/>
  </r>
  <r>
    <n v="13314"/>
    <x v="0"/>
    <x v="1"/>
    <n v="120000"/>
    <x v="0"/>
    <x v="2"/>
    <x v="2"/>
    <s v="Yes"/>
    <n v="4"/>
    <x v="2"/>
    <x v="2"/>
    <x v="30"/>
    <x v="1"/>
  </r>
  <r>
    <n v="11619"/>
    <x v="1"/>
    <x v="0"/>
    <n v="50000"/>
    <x v="3"/>
    <x v="4"/>
    <x v="0"/>
    <s v="Yes"/>
    <n v="0"/>
    <x v="3"/>
    <x v="2"/>
    <x v="6"/>
    <x v="0"/>
  </r>
  <r>
    <n v="29132"/>
    <x v="1"/>
    <x v="0"/>
    <n v="40000"/>
    <x v="3"/>
    <x v="0"/>
    <x v="2"/>
    <s v="Yes"/>
    <n v="1"/>
    <x v="1"/>
    <x v="2"/>
    <x v="0"/>
    <x v="1"/>
  </r>
  <r>
    <n v="11199"/>
    <x v="0"/>
    <x v="0"/>
    <n v="70000"/>
    <x v="5"/>
    <x v="0"/>
    <x v="4"/>
    <s v="Yes"/>
    <n v="1"/>
    <x v="4"/>
    <x v="2"/>
    <x v="14"/>
    <x v="0"/>
  </r>
  <r>
    <n v="20296"/>
    <x v="1"/>
    <x v="0"/>
    <n v="60000"/>
    <x v="3"/>
    <x v="1"/>
    <x v="0"/>
    <s v="No"/>
    <n v="1"/>
    <x v="3"/>
    <x v="2"/>
    <x v="6"/>
    <x v="1"/>
  </r>
  <r>
    <n v="17546"/>
    <x v="0"/>
    <x v="0"/>
    <n v="70000"/>
    <x v="0"/>
    <x v="1"/>
    <x v="0"/>
    <s v="Yes"/>
    <n v="1"/>
    <x v="0"/>
    <x v="2"/>
    <x v="20"/>
    <x v="1"/>
  </r>
  <r>
    <n v="18069"/>
    <x v="0"/>
    <x v="1"/>
    <n v="70000"/>
    <x v="2"/>
    <x v="0"/>
    <x v="4"/>
    <s v="Yes"/>
    <n v="4"/>
    <x v="4"/>
    <x v="2"/>
    <x v="2"/>
    <x v="0"/>
  </r>
  <r>
    <n v="23712"/>
    <x v="1"/>
    <x v="0"/>
    <n v="70000"/>
    <x v="4"/>
    <x v="0"/>
    <x v="4"/>
    <s v="Yes"/>
    <n v="1"/>
    <x v="4"/>
    <x v="2"/>
    <x v="14"/>
    <x v="0"/>
  </r>
  <r>
    <n v="23358"/>
    <x v="0"/>
    <x v="1"/>
    <n v="60000"/>
    <x v="3"/>
    <x v="2"/>
    <x v="2"/>
    <s v="Yes"/>
    <n v="2"/>
    <x v="2"/>
    <x v="2"/>
    <x v="21"/>
    <x v="1"/>
  </r>
  <r>
    <n v="20518"/>
    <x v="0"/>
    <x v="0"/>
    <n v="70000"/>
    <x v="4"/>
    <x v="1"/>
    <x v="2"/>
    <s v="Yes"/>
    <n v="1"/>
    <x v="4"/>
    <x v="2"/>
    <x v="7"/>
    <x v="0"/>
  </r>
  <r>
    <n v="28026"/>
    <x v="0"/>
    <x v="0"/>
    <n v="40000"/>
    <x v="4"/>
    <x v="2"/>
    <x v="2"/>
    <s v="No"/>
    <n v="2"/>
    <x v="1"/>
    <x v="2"/>
    <x v="14"/>
    <x v="0"/>
  </r>
  <r>
    <n v="11669"/>
    <x v="1"/>
    <x v="0"/>
    <n v="70000"/>
    <x v="4"/>
    <x v="0"/>
    <x v="0"/>
    <s v="Yes"/>
    <n v="1"/>
    <x v="1"/>
    <x v="2"/>
    <x v="13"/>
    <x v="0"/>
  </r>
  <r>
    <n v="16020"/>
    <x v="0"/>
    <x v="1"/>
    <n v="40000"/>
    <x v="3"/>
    <x v="2"/>
    <x v="0"/>
    <s v="Yes"/>
    <n v="2"/>
    <x v="2"/>
    <x v="2"/>
    <x v="26"/>
    <x v="1"/>
  </r>
  <r>
    <n v="27090"/>
    <x v="0"/>
    <x v="0"/>
    <n v="60000"/>
    <x v="0"/>
    <x v="4"/>
    <x v="2"/>
    <s v="Yes"/>
    <n v="0"/>
    <x v="1"/>
    <x v="2"/>
    <x v="34"/>
    <x v="1"/>
  </r>
  <r>
    <n v="27198"/>
    <x v="1"/>
    <x v="0"/>
    <n v="80000"/>
    <x v="3"/>
    <x v="4"/>
    <x v="0"/>
    <s v="No"/>
    <n v="0"/>
    <x v="0"/>
    <x v="2"/>
    <x v="8"/>
    <x v="0"/>
  </r>
  <r>
    <n v="19661"/>
    <x v="1"/>
    <x v="1"/>
    <n v="90000"/>
    <x v="5"/>
    <x v="0"/>
    <x v="4"/>
    <s v="Yes"/>
    <n v="1"/>
    <x v="3"/>
    <x v="2"/>
    <x v="13"/>
    <x v="1"/>
  </r>
  <r>
    <n v="26327"/>
    <x v="0"/>
    <x v="1"/>
    <n v="70000"/>
    <x v="5"/>
    <x v="4"/>
    <x v="2"/>
    <s v="Yes"/>
    <n v="0"/>
    <x v="1"/>
    <x v="2"/>
    <x v="4"/>
    <x v="1"/>
  </r>
  <r>
    <n v="26341"/>
    <x v="0"/>
    <x v="0"/>
    <n v="70000"/>
    <x v="2"/>
    <x v="4"/>
    <x v="2"/>
    <s v="Yes"/>
    <n v="2"/>
    <x v="0"/>
    <x v="2"/>
    <x v="34"/>
    <x v="0"/>
  </r>
  <r>
    <n v="24958"/>
    <x v="1"/>
    <x v="0"/>
    <n v="40000"/>
    <x v="2"/>
    <x v="2"/>
    <x v="2"/>
    <s v="No"/>
    <n v="3"/>
    <x v="1"/>
    <x v="2"/>
    <x v="2"/>
    <x v="1"/>
  </r>
  <r>
    <n v="13287"/>
    <x v="1"/>
    <x v="1"/>
    <n v="110000"/>
    <x v="5"/>
    <x v="0"/>
    <x v="4"/>
    <s v="Yes"/>
    <n v="4"/>
    <x v="2"/>
    <x v="2"/>
    <x v="0"/>
    <x v="1"/>
  </r>
  <r>
    <n v="14493"/>
    <x v="1"/>
    <x v="0"/>
    <n v="70000"/>
    <x v="1"/>
    <x v="4"/>
    <x v="4"/>
    <s v="No"/>
    <n v="2"/>
    <x v="3"/>
    <x v="2"/>
    <x v="39"/>
    <x v="0"/>
  </r>
  <r>
    <n v="26678"/>
    <x v="1"/>
    <x v="0"/>
    <n v="80000"/>
    <x v="4"/>
    <x v="3"/>
    <x v="0"/>
    <s v="Yes"/>
    <n v="2"/>
    <x v="2"/>
    <x v="2"/>
    <x v="38"/>
    <x v="0"/>
  </r>
  <r>
    <n v="23275"/>
    <x v="0"/>
    <x v="1"/>
    <n v="30000"/>
    <x v="4"/>
    <x v="2"/>
    <x v="0"/>
    <s v="Yes"/>
    <n v="2"/>
    <x v="3"/>
    <x v="2"/>
    <x v="38"/>
    <x v="0"/>
  </r>
  <r>
    <n v="11270"/>
    <x v="0"/>
    <x v="1"/>
    <n v="130000"/>
    <x v="4"/>
    <x v="4"/>
    <x v="4"/>
    <s v="Yes"/>
    <n v="3"/>
    <x v="0"/>
    <x v="2"/>
    <x v="0"/>
    <x v="1"/>
  </r>
  <r>
    <n v="20084"/>
    <x v="0"/>
    <x v="1"/>
    <n v="20000"/>
    <x v="4"/>
    <x v="2"/>
    <x v="3"/>
    <s v="No"/>
    <n v="2"/>
    <x v="0"/>
    <x v="2"/>
    <x v="39"/>
    <x v="0"/>
  </r>
  <r>
    <n v="16144"/>
    <x v="0"/>
    <x v="1"/>
    <n v="70000"/>
    <x v="0"/>
    <x v="4"/>
    <x v="2"/>
    <s v="Yes"/>
    <n v="1"/>
    <x v="0"/>
    <x v="2"/>
    <x v="30"/>
    <x v="1"/>
  </r>
  <r>
    <n v="27731"/>
    <x v="0"/>
    <x v="1"/>
    <n v="40000"/>
    <x v="3"/>
    <x v="2"/>
    <x v="0"/>
    <s v="Yes"/>
    <n v="2"/>
    <x v="2"/>
    <x v="2"/>
    <x v="40"/>
    <x v="0"/>
  </r>
  <r>
    <n v="11886"/>
    <x v="0"/>
    <x v="0"/>
    <n v="60000"/>
    <x v="1"/>
    <x v="0"/>
    <x v="2"/>
    <s v="Yes"/>
    <n v="1"/>
    <x v="0"/>
    <x v="2"/>
    <x v="28"/>
    <x v="1"/>
  </r>
  <r>
    <n v="24324"/>
    <x v="1"/>
    <x v="0"/>
    <n v="60000"/>
    <x v="5"/>
    <x v="0"/>
    <x v="0"/>
    <s v="Yes"/>
    <n v="2"/>
    <x v="1"/>
    <x v="2"/>
    <x v="3"/>
    <x v="1"/>
  </r>
  <r>
    <n v="22220"/>
    <x v="0"/>
    <x v="1"/>
    <n v="60000"/>
    <x v="4"/>
    <x v="2"/>
    <x v="2"/>
    <s v="No"/>
    <n v="2"/>
    <x v="3"/>
    <x v="2"/>
    <x v="38"/>
    <x v="1"/>
  </r>
  <r>
    <n v="26625"/>
    <x v="1"/>
    <x v="0"/>
    <n v="60000"/>
    <x v="3"/>
    <x v="4"/>
    <x v="2"/>
    <s v="Yes"/>
    <n v="1"/>
    <x v="1"/>
    <x v="2"/>
    <x v="13"/>
    <x v="1"/>
  </r>
  <r>
    <n v="23027"/>
    <x v="1"/>
    <x v="1"/>
    <n v="130000"/>
    <x v="0"/>
    <x v="0"/>
    <x v="4"/>
    <s v="No"/>
    <n v="4"/>
    <x v="0"/>
    <x v="2"/>
    <x v="20"/>
    <x v="0"/>
  </r>
  <r>
    <n v="16867"/>
    <x v="1"/>
    <x v="0"/>
    <n v="130000"/>
    <x v="0"/>
    <x v="0"/>
    <x v="4"/>
    <s v="No"/>
    <n v="3"/>
    <x v="0"/>
    <x v="2"/>
    <x v="12"/>
    <x v="1"/>
  </r>
  <r>
    <n v="14514"/>
    <x v="1"/>
    <x v="0"/>
    <n v="30000"/>
    <x v="3"/>
    <x v="1"/>
    <x v="0"/>
    <s v="Yes"/>
    <n v="1"/>
    <x v="2"/>
    <x v="2"/>
    <x v="22"/>
    <x v="0"/>
  </r>
  <r>
    <n v="19634"/>
    <x v="0"/>
    <x v="1"/>
    <n v="40000"/>
    <x v="3"/>
    <x v="2"/>
    <x v="0"/>
    <s v="Yes"/>
    <n v="1"/>
    <x v="2"/>
    <x v="2"/>
    <x v="23"/>
    <x v="0"/>
  </r>
  <r>
    <n v="18504"/>
    <x v="0"/>
    <x v="1"/>
    <n v="70000"/>
    <x v="4"/>
    <x v="3"/>
    <x v="0"/>
    <s v="No"/>
    <n v="2"/>
    <x v="3"/>
    <x v="2"/>
    <x v="38"/>
    <x v="0"/>
  </r>
  <r>
    <n v="28799"/>
    <x v="1"/>
    <x v="0"/>
    <n v="40000"/>
    <x v="4"/>
    <x v="1"/>
    <x v="1"/>
    <s v="No"/>
    <n v="1"/>
    <x v="3"/>
    <x v="2"/>
    <x v="15"/>
    <x v="1"/>
  </r>
  <r>
    <n v="11225"/>
    <x v="0"/>
    <x v="0"/>
    <n v="60000"/>
    <x v="4"/>
    <x v="1"/>
    <x v="2"/>
    <s v="Yes"/>
    <n v="1"/>
    <x v="4"/>
    <x v="2"/>
    <x v="10"/>
    <x v="0"/>
  </r>
  <r>
    <n v="17657"/>
    <x v="0"/>
    <x v="1"/>
    <n v="40000"/>
    <x v="5"/>
    <x v="1"/>
    <x v="1"/>
    <s v="No"/>
    <n v="0"/>
    <x v="0"/>
    <x v="2"/>
    <x v="25"/>
    <x v="0"/>
  </r>
  <r>
    <n v="14913"/>
    <x v="0"/>
    <x v="0"/>
    <n v="40000"/>
    <x v="0"/>
    <x v="1"/>
    <x v="1"/>
    <s v="Yes"/>
    <n v="1"/>
    <x v="3"/>
    <x v="2"/>
    <x v="28"/>
    <x v="1"/>
  </r>
  <r>
    <n v="14077"/>
    <x v="1"/>
    <x v="1"/>
    <n v="30000"/>
    <x v="3"/>
    <x v="2"/>
    <x v="0"/>
    <s v="Yes"/>
    <n v="2"/>
    <x v="2"/>
    <x v="2"/>
    <x v="25"/>
    <x v="0"/>
  </r>
  <r>
    <n v="13296"/>
    <x v="0"/>
    <x v="1"/>
    <n v="110000"/>
    <x v="0"/>
    <x v="0"/>
    <x v="4"/>
    <s v="Yes"/>
    <n v="3"/>
    <x v="2"/>
    <x v="2"/>
    <x v="12"/>
    <x v="0"/>
  </r>
  <r>
    <n v="20535"/>
    <x v="0"/>
    <x v="0"/>
    <n v="70000"/>
    <x v="5"/>
    <x v="1"/>
    <x v="2"/>
    <s v="Yes"/>
    <n v="1"/>
    <x v="4"/>
    <x v="2"/>
    <x v="16"/>
    <x v="0"/>
  </r>
  <r>
    <n v="12452"/>
    <x v="0"/>
    <x v="1"/>
    <n v="60000"/>
    <x v="5"/>
    <x v="4"/>
    <x v="0"/>
    <s v="Yes"/>
    <n v="0"/>
    <x v="3"/>
    <x v="2"/>
    <x v="15"/>
    <x v="1"/>
  </r>
  <r>
    <n v="28043"/>
    <x v="0"/>
    <x v="0"/>
    <n v="60000"/>
    <x v="4"/>
    <x v="0"/>
    <x v="4"/>
    <s v="Yes"/>
    <n v="0"/>
    <x v="4"/>
    <x v="2"/>
    <x v="16"/>
    <x v="0"/>
  </r>
  <r>
    <n v="12957"/>
    <x v="1"/>
    <x v="0"/>
    <n v="70000"/>
    <x v="0"/>
    <x v="0"/>
    <x v="2"/>
    <s v="No"/>
    <n v="1"/>
    <x v="0"/>
    <x v="2"/>
    <x v="20"/>
    <x v="0"/>
  </r>
  <r>
    <n v="15412"/>
    <x v="0"/>
    <x v="1"/>
    <n v="130000"/>
    <x v="4"/>
    <x v="4"/>
    <x v="4"/>
    <s v="Yes"/>
    <n v="3"/>
    <x v="1"/>
    <x v="2"/>
    <x v="45"/>
    <x v="0"/>
  </r>
  <r>
    <n v="20514"/>
    <x v="0"/>
    <x v="0"/>
    <n v="70000"/>
    <x v="4"/>
    <x v="1"/>
    <x v="2"/>
    <s v="Yes"/>
    <n v="1"/>
    <x v="1"/>
    <x v="2"/>
    <x v="14"/>
    <x v="0"/>
  </r>
  <r>
    <n v="20758"/>
    <x v="0"/>
    <x v="1"/>
    <n v="30000"/>
    <x v="4"/>
    <x v="2"/>
    <x v="0"/>
    <s v="Yes"/>
    <n v="2"/>
    <x v="3"/>
    <x v="2"/>
    <x v="5"/>
    <x v="0"/>
  </r>
  <r>
    <n v="11801"/>
    <x v="0"/>
    <x v="1"/>
    <n v="60000"/>
    <x v="0"/>
    <x v="4"/>
    <x v="2"/>
    <s v="Yes"/>
    <n v="0"/>
    <x v="1"/>
    <x v="2"/>
    <x v="4"/>
    <x v="0"/>
  </r>
  <r>
    <n v="22211"/>
    <x v="0"/>
    <x v="1"/>
    <n v="60000"/>
    <x v="3"/>
    <x v="1"/>
    <x v="2"/>
    <s v="Yes"/>
    <n v="2"/>
    <x v="2"/>
    <x v="2"/>
    <x v="21"/>
    <x v="0"/>
  </r>
  <r>
    <n v="28087"/>
    <x v="1"/>
    <x v="0"/>
    <n v="40000"/>
    <x v="3"/>
    <x v="1"/>
    <x v="0"/>
    <s v="No"/>
    <n v="1"/>
    <x v="3"/>
    <x v="2"/>
    <x v="40"/>
    <x v="0"/>
  </r>
  <r>
    <n v="23668"/>
    <x v="0"/>
    <x v="0"/>
    <n v="40000"/>
    <x v="5"/>
    <x v="2"/>
    <x v="2"/>
    <s v="Yes"/>
    <n v="2"/>
    <x v="2"/>
    <x v="2"/>
    <x v="14"/>
    <x v="1"/>
  </r>
  <r>
    <n v="27441"/>
    <x v="0"/>
    <x v="1"/>
    <n v="60000"/>
    <x v="1"/>
    <x v="2"/>
    <x v="2"/>
    <s v="No"/>
    <n v="2"/>
    <x v="1"/>
    <x v="2"/>
    <x v="39"/>
    <x v="0"/>
  </r>
  <r>
    <n v="27261"/>
    <x v="0"/>
    <x v="1"/>
    <n v="40000"/>
    <x v="0"/>
    <x v="0"/>
    <x v="0"/>
    <s v="No"/>
    <n v="1"/>
    <x v="0"/>
    <x v="2"/>
    <x v="4"/>
    <x v="1"/>
  </r>
  <r>
    <n v="18649"/>
    <x v="1"/>
    <x v="1"/>
    <n v="30000"/>
    <x v="0"/>
    <x v="2"/>
    <x v="1"/>
    <s v="Yes"/>
    <n v="2"/>
    <x v="3"/>
    <x v="2"/>
    <x v="36"/>
    <x v="1"/>
  </r>
  <r>
    <n v="21714"/>
    <x v="1"/>
    <x v="0"/>
    <n v="80000"/>
    <x v="2"/>
    <x v="4"/>
    <x v="0"/>
    <s v="No"/>
    <n v="0"/>
    <x v="0"/>
    <x v="2"/>
    <x v="15"/>
    <x v="0"/>
  </r>
  <r>
    <n v="23217"/>
    <x v="1"/>
    <x v="0"/>
    <n v="60000"/>
    <x v="1"/>
    <x v="4"/>
    <x v="2"/>
    <s v="Yes"/>
    <n v="0"/>
    <x v="1"/>
    <x v="2"/>
    <x v="1"/>
    <x v="1"/>
  </r>
  <r>
    <n v="23797"/>
    <x v="1"/>
    <x v="1"/>
    <n v="20000"/>
    <x v="1"/>
    <x v="3"/>
    <x v="1"/>
    <s v="No"/>
    <n v="2"/>
    <x v="0"/>
    <x v="2"/>
    <x v="5"/>
    <x v="0"/>
  </r>
  <r>
    <n v="13216"/>
    <x v="0"/>
    <x v="0"/>
    <n v="60000"/>
    <x v="2"/>
    <x v="0"/>
    <x v="4"/>
    <s v="Yes"/>
    <n v="3"/>
    <x v="4"/>
    <x v="2"/>
    <x v="14"/>
    <x v="0"/>
  </r>
  <r>
    <n v="20657"/>
    <x v="1"/>
    <x v="1"/>
    <n v="50000"/>
    <x v="4"/>
    <x v="0"/>
    <x v="0"/>
    <s v="Yes"/>
    <n v="0"/>
    <x v="1"/>
    <x v="2"/>
    <x v="34"/>
    <x v="1"/>
  </r>
  <r>
    <n v="12882"/>
    <x v="0"/>
    <x v="1"/>
    <n v="50000"/>
    <x v="0"/>
    <x v="4"/>
    <x v="0"/>
    <s v="Yes"/>
    <n v="0"/>
    <x v="0"/>
    <x v="2"/>
    <x v="6"/>
    <x v="1"/>
  </r>
  <r>
    <n v="25908"/>
    <x v="0"/>
    <x v="0"/>
    <n v="60000"/>
    <x v="3"/>
    <x v="1"/>
    <x v="0"/>
    <s v="No"/>
    <n v="1"/>
    <x v="3"/>
    <x v="2"/>
    <x v="40"/>
    <x v="0"/>
  </r>
  <r>
    <n v="16753"/>
    <x v="1"/>
    <x v="0"/>
    <n v="70000"/>
    <x v="3"/>
    <x v="1"/>
    <x v="0"/>
    <s v="Yes"/>
    <n v="2"/>
    <x v="2"/>
    <x v="2"/>
    <x v="17"/>
    <x v="1"/>
  </r>
  <r>
    <n v="14608"/>
    <x v="0"/>
    <x v="1"/>
    <n v="50000"/>
    <x v="5"/>
    <x v="0"/>
    <x v="0"/>
    <s v="Yes"/>
    <n v="3"/>
    <x v="4"/>
    <x v="2"/>
    <x v="0"/>
    <x v="0"/>
  </r>
  <r>
    <n v="24979"/>
    <x v="0"/>
    <x v="0"/>
    <n v="60000"/>
    <x v="4"/>
    <x v="1"/>
    <x v="2"/>
    <s v="Yes"/>
    <n v="2"/>
    <x v="1"/>
    <x v="2"/>
    <x v="42"/>
    <x v="1"/>
  </r>
  <r>
    <n v="13313"/>
    <x v="0"/>
    <x v="0"/>
    <n v="120000"/>
    <x v="0"/>
    <x v="2"/>
    <x v="2"/>
    <s v="No"/>
    <n v="4"/>
    <x v="1"/>
    <x v="2"/>
    <x v="12"/>
    <x v="0"/>
  </r>
  <r>
    <n v="18952"/>
    <x v="0"/>
    <x v="0"/>
    <n v="100000"/>
    <x v="5"/>
    <x v="0"/>
    <x v="4"/>
    <s v="Yes"/>
    <n v="4"/>
    <x v="0"/>
    <x v="2"/>
    <x v="8"/>
    <x v="0"/>
  </r>
  <r>
    <n v="17699"/>
    <x v="0"/>
    <x v="1"/>
    <n v="60000"/>
    <x v="0"/>
    <x v="4"/>
    <x v="0"/>
    <s v="No"/>
    <n v="0"/>
    <x v="0"/>
    <x v="2"/>
    <x v="10"/>
    <x v="0"/>
  </r>
  <r>
    <n v="14657"/>
    <x v="0"/>
    <x v="1"/>
    <n v="80000"/>
    <x v="0"/>
    <x v="1"/>
    <x v="0"/>
    <s v="No"/>
    <n v="1"/>
    <x v="0"/>
    <x v="2"/>
    <x v="15"/>
    <x v="1"/>
  </r>
  <r>
    <n v="11540"/>
    <x v="1"/>
    <x v="1"/>
    <n v="60000"/>
    <x v="5"/>
    <x v="4"/>
    <x v="0"/>
    <s v="Yes"/>
    <n v="0"/>
    <x v="3"/>
    <x v="2"/>
    <x v="15"/>
    <x v="1"/>
  </r>
  <r>
    <n v="11783"/>
    <x v="0"/>
    <x v="0"/>
    <n v="60000"/>
    <x v="0"/>
    <x v="4"/>
    <x v="0"/>
    <s v="Yes"/>
    <n v="0"/>
    <x v="0"/>
    <x v="2"/>
    <x v="17"/>
    <x v="0"/>
  </r>
  <r>
    <n v="14602"/>
    <x v="0"/>
    <x v="0"/>
    <n v="80000"/>
    <x v="1"/>
    <x v="4"/>
    <x v="2"/>
    <s v="Yes"/>
    <n v="0"/>
    <x v="0"/>
    <x v="2"/>
    <x v="4"/>
    <x v="1"/>
  </r>
  <r>
    <n v="29030"/>
    <x v="0"/>
    <x v="1"/>
    <n v="70000"/>
    <x v="4"/>
    <x v="3"/>
    <x v="0"/>
    <s v="Yes"/>
    <n v="2"/>
    <x v="4"/>
    <x v="2"/>
    <x v="9"/>
    <x v="0"/>
  </r>
  <r>
    <n v="26490"/>
    <x v="1"/>
    <x v="1"/>
    <n v="70000"/>
    <x v="4"/>
    <x v="0"/>
    <x v="4"/>
    <s v="No"/>
    <n v="1"/>
    <x v="1"/>
    <x v="2"/>
    <x v="14"/>
    <x v="1"/>
  </r>
  <r>
    <n v="13151"/>
    <x v="1"/>
    <x v="1"/>
    <n v="40000"/>
    <x v="3"/>
    <x v="2"/>
    <x v="0"/>
    <s v="Yes"/>
    <n v="2"/>
    <x v="2"/>
    <x v="2"/>
    <x v="40"/>
    <x v="0"/>
  </r>
  <r>
    <n v="17260"/>
    <x v="0"/>
    <x v="1"/>
    <n v="90000"/>
    <x v="2"/>
    <x v="1"/>
    <x v="2"/>
    <s v="Yes"/>
    <n v="3"/>
    <x v="0"/>
    <x v="2"/>
    <x v="3"/>
    <x v="0"/>
  </r>
  <r>
    <n v="15372"/>
    <x v="0"/>
    <x v="1"/>
    <n v="80000"/>
    <x v="1"/>
    <x v="1"/>
    <x v="2"/>
    <s v="No"/>
    <n v="2"/>
    <x v="1"/>
    <x v="2"/>
    <x v="5"/>
    <x v="1"/>
  </r>
  <r>
    <n v="18105"/>
    <x v="0"/>
    <x v="0"/>
    <n v="60000"/>
    <x v="4"/>
    <x v="1"/>
    <x v="2"/>
    <s v="Yes"/>
    <n v="1"/>
    <x v="4"/>
    <x v="2"/>
    <x v="10"/>
    <x v="0"/>
  </r>
  <r>
    <n v="19660"/>
    <x v="0"/>
    <x v="1"/>
    <n v="80000"/>
    <x v="5"/>
    <x v="0"/>
    <x v="4"/>
    <s v="Yes"/>
    <n v="0"/>
    <x v="0"/>
    <x v="2"/>
    <x v="1"/>
    <x v="0"/>
  </r>
  <r>
    <n v="16112"/>
    <x v="1"/>
    <x v="1"/>
    <n v="70000"/>
    <x v="5"/>
    <x v="0"/>
    <x v="2"/>
    <s v="Yes"/>
    <n v="2"/>
    <x v="1"/>
    <x v="2"/>
    <x v="1"/>
    <x v="1"/>
  </r>
  <r>
    <n v="20698"/>
    <x v="0"/>
    <x v="1"/>
    <n v="60000"/>
    <x v="5"/>
    <x v="0"/>
    <x v="0"/>
    <s v="Yes"/>
    <n v="3"/>
    <x v="2"/>
    <x v="2"/>
    <x v="0"/>
    <x v="0"/>
  </r>
  <r>
    <n v="20076"/>
    <x v="1"/>
    <x v="0"/>
    <n v="10000"/>
    <x v="4"/>
    <x v="2"/>
    <x v="3"/>
    <s v="Yes"/>
    <n v="2"/>
    <x v="3"/>
    <x v="2"/>
    <x v="39"/>
    <x v="1"/>
  </r>
  <r>
    <n v="24496"/>
    <x v="1"/>
    <x v="0"/>
    <n v="40000"/>
    <x v="3"/>
    <x v="2"/>
    <x v="0"/>
    <s v="No"/>
    <n v="2"/>
    <x v="0"/>
    <x v="2"/>
    <x v="26"/>
    <x v="1"/>
  </r>
  <r>
    <n v="15468"/>
    <x v="0"/>
    <x v="0"/>
    <n v="50000"/>
    <x v="0"/>
    <x v="0"/>
    <x v="0"/>
    <s v="Yes"/>
    <n v="1"/>
    <x v="0"/>
    <x v="2"/>
    <x v="11"/>
    <x v="0"/>
  </r>
  <r>
    <n v="28031"/>
    <x v="1"/>
    <x v="0"/>
    <n v="70000"/>
    <x v="4"/>
    <x v="0"/>
    <x v="4"/>
    <s v="No"/>
    <n v="1"/>
    <x v="1"/>
    <x v="2"/>
    <x v="14"/>
    <x v="1"/>
  </r>
  <r>
    <n v="26270"/>
    <x v="1"/>
    <x v="0"/>
    <n v="20000"/>
    <x v="4"/>
    <x v="3"/>
    <x v="1"/>
    <s v="Yes"/>
    <n v="2"/>
    <x v="3"/>
    <x v="2"/>
    <x v="38"/>
    <x v="0"/>
  </r>
  <r>
    <n v="22221"/>
    <x v="0"/>
    <x v="1"/>
    <n v="60000"/>
    <x v="4"/>
    <x v="2"/>
    <x v="2"/>
    <s v="No"/>
    <n v="2"/>
    <x v="3"/>
    <x v="2"/>
    <x v="28"/>
    <x v="1"/>
  </r>
  <r>
    <n v="28228"/>
    <x v="1"/>
    <x v="0"/>
    <n v="80000"/>
    <x v="4"/>
    <x v="3"/>
    <x v="0"/>
    <s v="No"/>
    <n v="2"/>
    <x v="3"/>
    <x v="2"/>
    <x v="5"/>
    <x v="0"/>
  </r>
  <r>
    <n v="18363"/>
    <x v="0"/>
    <x v="1"/>
    <n v="40000"/>
    <x v="3"/>
    <x v="2"/>
    <x v="0"/>
    <s v="Yes"/>
    <n v="2"/>
    <x v="2"/>
    <x v="2"/>
    <x v="26"/>
    <x v="1"/>
  </r>
  <r>
    <n v="23256"/>
    <x v="1"/>
    <x v="1"/>
    <n v="30000"/>
    <x v="0"/>
    <x v="2"/>
    <x v="1"/>
    <s v="No"/>
    <n v="1"/>
    <x v="2"/>
    <x v="2"/>
    <x v="31"/>
    <x v="0"/>
  </r>
  <r>
    <n v="12768"/>
    <x v="0"/>
    <x v="1"/>
    <n v="30000"/>
    <x v="0"/>
    <x v="2"/>
    <x v="1"/>
    <s v="Yes"/>
    <n v="1"/>
    <x v="1"/>
    <x v="2"/>
    <x v="31"/>
    <x v="1"/>
  </r>
  <r>
    <n v="20361"/>
    <x v="0"/>
    <x v="1"/>
    <n v="50000"/>
    <x v="4"/>
    <x v="4"/>
    <x v="4"/>
    <s v="Yes"/>
    <n v="2"/>
    <x v="2"/>
    <x v="2"/>
    <x v="45"/>
    <x v="0"/>
  </r>
  <r>
    <n v="21306"/>
    <x v="1"/>
    <x v="1"/>
    <n v="60000"/>
    <x v="4"/>
    <x v="2"/>
    <x v="2"/>
    <s v="Yes"/>
    <n v="2"/>
    <x v="2"/>
    <x v="2"/>
    <x v="36"/>
    <x v="0"/>
  </r>
  <r>
    <n v="13382"/>
    <x v="0"/>
    <x v="1"/>
    <n v="70000"/>
    <x v="2"/>
    <x v="1"/>
    <x v="2"/>
    <s v="Yes"/>
    <n v="2"/>
    <x v="3"/>
    <x v="2"/>
    <x v="42"/>
    <x v="1"/>
  </r>
  <r>
    <n v="20310"/>
    <x v="1"/>
    <x v="1"/>
    <n v="60000"/>
    <x v="3"/>
    <x v="1"/>
    <x v="0"/>
    <s v="Yes"/>
    <n v="1"/>
    <x v="2"/>
    <x v="2"/>
    <x v="40"/>
    <x v="1"/>
  </r>
  <r>
    <n v="22971"/>
    <x v="1"/>
    <x v="0"/>
    <n v="30000"/>
    <x v="3"/>
    <x v="2"/>
    <x v="0"/>
    <s v="No"/>
    <n v="2"/>
    <x v="0"/>
    <x v="2"/>
    <x v="37"/>
    <x v="1"/>
  </r>
  <r>
    <n v="15287"/>
    <x v="1"/>
    <x v="0"/>
    <n v="50000"/>
    <x v="0"/>
    <x v="4"/>
    <x v="0"/>
    <s v="Yes"/>
    <n v="0"/>
    <x v="3"/>
    <x v="2"/>
    <x v="6"/>
    <x v="1"/>
  </r>
  <r>
    <n v="15532"/>
    <x v="1"/>
    <x v="1"/>
    <n v="60000"/>
    <x v="5"/>
    <x v="0"/>
    <x v="2"/>
    <s v="Yes"/>
    <n v="2"/>
    <x v="1"/>
    <x v="2"/>
    <x v="1"/>
    <x v="1"/>
  </r>
  <r>
    <n v="11255"/>
    <x v="0"/>
    <x v="1"/>
    <n v="70000"/>
    <x v="5"/>
    <x v="4"/>
    <x v="4"/>
    <s v="Yes"/>
    <n v="2"/>
    <x v="2"/>
    <x v="2"/>
    <x v="49"/>
    <x v="0"/>
  </r>
  <r>
    <n v="28090"/>
    <x v="0"/>
    <x v="1"/>
    <n v="40000"/>
    <x v="3"/>
    <x v="1"/>
    <x v="0"/>
    <s v="Yes"/>
    <n v="1"/>
    <x v="2"/>
    <x v="2"/>
    <x v="40"/>
    <x v="0"/>
  </r>
  <r>
    <n v="15255"/>
    <x v="0"/>
    <x v="1"/>
    <n v="40000"/>
    <x v="3"/>
    <x v="2"/>
    <x v="0"/>
    <s v="Yes"/>
    <n v="2"/>
    <x v="2"/>
    <x v="2"/>
    <x v="26"/>
    <x v="1"/>
  </r>
  <r>
    <n v="13154"/>
    <x v="0"/>
    <x v="1"/>
    <n v="40000"/>
    <x v="3"/>
    <x v="2"/>
    <x v="0"/>
    <s v="No"/>
    <n v="2"/>
    <x v="0"/>
    <x v="2"/>
    <x v="40"/>
    <x v="1"/>
  </r>
  <r>
    <n v="26778"/>
    <x v="1"/>
    <x v="0"/>
    <n v="40000"/>
    <x v="3"/>
    <x v="2"/>
    <x v="0"/>
    <s v="Yes"/>
    <n v="2"/>
    <x v="2"/>
    <x v="2"/>
    <x v="23"/>
    <x v="0"/>
  </r>
  <r>
    <n v="23248"/>
    <x v="0"/>
    <x v="0"/>
    <n v="10000"/>
    <x v="4"/>
    <x v="2"/>
    <x v="3"/>
    <s v="Yes"/>
    <n v="2"/>
    <x v="3"/>
    <x v="2"/>
    <x v="39"/>
    <x v="0"/>
  </r>
  <r>
    <n v="21417"/>
    <x v="1"/>
    <x v="0"/>
    <n v="60000"/>
    <x v="3"/>
    <x v="1"/>
    <x v="2"/>
    <s v="No"/>
    <n v="2"/>
    <x v="3"/>
    <x v="2"/>
    <x v="21"/>
    <x v="1"/>
  </r>
  <r>
    <n v="17668"/>
    <x v="1"/>
    <x v="1"/>
    <n v="30000"/>
    <x v="4"/>
    <x v="2"/>
    <x v="0"/>
    <s v="Yes"/>
    <n v="2"/>
    <x v="3"/>
    <x v="2"/>
    <x v="5"/>
    <x v="1"/>
  </r>
  <r>
    <n v="27994"/>
    <x v="0"/>
    <x v="0"/>
    <n v="40000"/>
    <x v="5"/>
    <x v="2"/>
    <x v="2"/>
    <s v="Yes"/>
    <n v="2"/>
    <x v="2"/>
    <x v="2"/>
    <x v="45"/>
    <x v="0"/>
  </r>
  <r>
    <n v="20376"/>
    <x v="1"/>
    <x v="0"/>
    <n v="70000"/>
    <x v="1"/>
    <x v="4"/>
    <x v="4"/>
    <s v="Yes"/>
    <n v="2"/>
    <x v="2"/>
    <x v="2"/>
    <x v="31"/>
    <x v="1"/>
  </r>
  <r>
    <n v="25954"/>
    <x v="0"/>
    <x v="1"/>
    <n v="60000"/>
    <x v="3"/>
    <x v="1"/>
    <x v="0"/>
    <s v="No"/>
    <n v="2"/>
    <x v="3"/>
    <x v="2"/>
    <x v="23"/>
    <x v="0"/>
  </r>
  <r>
    <n v="15749"/>
    <x v="1"/>
    <x v="0"/>
    <n v="70000"/>
    <x v="5"/>
    <x v="0"/>
    <x v="4"/>
    <s v="Yes"/>
    <n v="2"/>
    <x v="4"/>
    <x v="2"/>
    <x v="33"/>
    <x v="0"/>
  </r>
  <r>
    <n v="25899"/>
    <x v="0"/>
    <x v="0"/>
    <n v="70000"/>
    <x v="4"/>
    <x v="2"/>
    <x v="2"/>
    <s v="Yes"/>
    <n v="2"/>
    <x v="4"/>
    <x v="2"/>
    <x v="39"/>
    <x v="0"/>
  </r>
  <r>
    <n v="13351"/>
    <x v="1"/>
    <x v="0"/>
    <n v="70000"/>
    <x v="5"/>
    <x v="0"/>
    <x v="4"/>
    <s v="Yes"/>
    <n v="2"/>
    <x v="3"/>
    <x v="2"/>
    <x v="24"/>
    <x v="1"/>
  </r>
  <r>
    <n v="23333"/>
    <x v="0"/>
    <x v="1"/>
    <n v="40000"/>
    <x v="3"/>
    <x v="1"/>
    <x v="0"/>
    <s v="No"/>
    <n v="2"/>
    <x v="3"/>
    <x v="2"/>
    <x v="25"/>
    <x v="0"/>
  </r>
  <r>
    <n v="21660"/>
    <x v="0"/>
    <x v="0"/>
    <n v="60000"/>
    <x v="1"/>
    <x v="4"/>
    <x v="2"/>
    <s v="Yes"/>
    <n v="0"/>
    <x v="1"/>
    <x v="2"/>
    <x v="1"/>
    <x v="1"/>
  </r>
  <r>
    <n v="17012"/>
    <x v="0"/>
    <x v="0"/>
    <n v="60000"/>
    <x v="1"/>
    <x v="4"/>
    <x v="2"/>
    <s v="Yes"/>
    <n v="0"/>
    <x v="1"/>
    <x v="2"/>
    <x v="0"/>
    <x v="1"/>
  </r>
  <r>
    <n v="24514"/>
    <x v="0"/>
    <x v="1"/>
    <n v="40000"/>
    <x v="3"/>
    <x v="1"/>
    <x v="0"/>
    <s v="Yes"/>
    <n v="1"/>
    <x v="2"/>
    <x v="2"/>
    <x v="25"/>
    <x v="0"/>
  </r>
  <r>
    <n v="27505"/>
    <x v="1"/>
    <x v="0"/>
    <n v="40000"/>
    <x v="3"/>
    <x v="2"/>
    <x v="0"/>
    <s v="Yes"/>
    <n v="2"/>
    <x v="2"/>
    <x v="2"/>
    <x v="25"/>
    <x v="0"/>
  </r>
  <r>
    <n v="29243"/>
    <x v="1"/>
    <x v="1"/>
    <n v="110000"/>
    <x v="0"/>
    <x v="0"/>
    <x v="4"/>
    <s v="Yes"/>
    <n v="1"/>
    <x v="2"/>
    <x v="2"/>
    <x v="1"/>
    <x v="0"/>
  </r>
  <r>
    <n v="26582"/>
    <x v="0"/>
    <x v="1"/>
    <n v="60000"/>
    <x v="3"/>
    <x v="1"/>
    <x v="0"/>
    <s v="Yes"/>
    <n v="2"/>
    <x v="2"/>
    <x v="2"/>
    <x v="6"/>
    <x v="1"/>
  </r>
  <r>
    <n v="14271"/>
    <x v="0"/>
    <x v="1"/>
    <n v="30000"/>
    <x v="3"/>
    <x v="2"/>
    <x v="0"/>
    <s v="Yes"/>
    <n v="2"/>
    <x v="2"/>
    <x v="2"/>
    <x v="21"/>
    <x v="0"/>
  </r>
  <r>
    <n v="23041"/>
    <x v="1"/>
    <x v="0"/>
    <n v="70000"/>
    <x v="5"/>
    <x v="2"/>
    <x v="2"/>
    <s v="Yes"/>
    <n v="0"/>
    <x v="2"/>
    <x v="2"/>
    <x v="5"/>
    <x v="1"/>
  </r>
  <r>
    <n v="29048"/>
    <x v="1"/>
    <x v="1"/>
    <n v="110000"/>
    <x v="4"/>
    <x v="0"/>
    <x v="4"/>
    <s v="No"/>
    <n v="3"/>
    <x v="0"/>
    <x v="2"/>
    <x v="34"/>
    <x v="1"/>
  </r>
  <r>
    <n v="24433"/>
    <x v="0"/>
    <x v="1"/>
    <n v="70000"/>
    <x v="1"/>
    <x v="2"/>
    <x v="2"/>
    <s v="No"/>
    <n v="1"/>
    <x v="3"/>
    <x v="2"/>
    <x v="31"/>
    <x v="1"/>
  </r>
  <r>
    <n v="15501"/>
    <x v="0"/>
    <x v="1"/>
    <n v="70000"/>
    <x v="5"/>
    <x v="4"/>
    <x v="2"/>
    <s v="Yes"/>
    <n v="0"/>
    <x v="1"/>
    <x v="2"/>
    <x v="4"/>
    <x v="1"/>
  </r>
  <r>
    <n v="13911"/>
    <x v="1"/>
    <x v="0"/>
    <n v="80000"/>
    <x v="1"/>
    <x v="0"/>
    <x v="0"/>
    <s v="Yes"/>
    <n v="2"/>
    <x v="1"/>
    <x v="2"/>
    <x v="3"/>
    <x v="1"/>
  </r>
  <r>
    <n v="20421"/>
    <x v="1"/>
    <x v="0"/>
    <n v="40000"/>
    <x v="3"/>
    <x v="3"/>
    <x v="1"/>
    <s v="Yes"/>
    <n v="2"/>
    <x v="2"/>
    <x v="2"/>
    <x v="22"/>
    <x v="0"/>
  </r>
  <r>
    <n v="16009"/>
    <x v="1"/>
    <x v="1"/>
    <n v="170000"/>
    <x v="0"/>
    <x v="4"/>
    <x v="4"/>
    <s v="No"/>
    <n v="4"/>
    <x v="0"/>
    <x v="2"/>
    <x v="29"/>
    <x v="0"/>
  </r>
  <r>
    <n v="18411"/>
    <x v="0"/>
    <x v="1"/>
    <n v="60000"/>
    <x v="4"/>
    <x v="2"/>
    <x v="2"/>
    <s v="No"/>
    <n v="2"/>
    <x v="2"/>
    <x v="2"/>
    <x v="36"/>
    <x v="0"/>
  </r>
  <r>
    <n v="19163"/>
    <x v="0"/>
    <x v="0"/>
    <n v="70000"/>
    <x v="5"/>
    <x v="0"/>
    <x v="2"/>
    <s v="Yes"/>
    <n v="2"/>
    <x v="0"/>
    <x v="2"/>
    <x v="1"/>
    <x v="1"/>
  </r>
  <r>
    <n v="18572"/>
    <x v="0"/>
    <x v="0"/>
    <n v="60000"/>
    <x v="3"/>
    <x v="4"/>
    <x v="2"/>
    <s v="Yes"/>
    <n v="0"/>
    <x v="0"/>
    <x v="2"/>
    <x v="32"/>
    <x v="0"/>
  </r>
  <r>
    <n v="27540"/>
    <x v="1"/>
    <x v="0"/>
    <n v="70000"/>
    <x v="3"/>
    <x v="0"/>
    <x v="2"/>
    <s v="No"/>
    <n v="1"/>
    <x v="0"/>
    <x v="2"/>
    <x v="34"/>
    <x v="1"/>
  </r>
  <r>
    <n v="19889"/>
    <x v="1"/>
    <x v="0"/>
    <n v="70000"/>
    <x v="4"/>
    <x v="3"/>
    <x v="0"/>
    <s v="No"/>
    <n v="2"/>
    <x v="1"/>
    <x v="2"/>
    <x v="9"/>
    <x v="1"/>
  </r>
  <r>
    <n v="12922"/>
    <x v="1"/>
    <x v="0"/>
    <n v="60000"/>
    <x v="1"/>
    <x v="0"/>
    <x v="0"/>
    <s v="Yes"/>
    <n v="0"/>
    <x v="1"/>
    <x v="2"/>
    <x v="8"/>
    <x v="1"/>
  </r>
  <r>
    <n v="18891"/>
    <x v="0"/>
    <x v="0"/>
    <n v="40000"/>
    <x v="3"/>
    <x v="1"/>
    <x v="0"/>
    <s v="Yes"/>
    <n v="2"/>
    <x v="2"/>
    <x v="2"/>
    <x v="26"/>
    <x v="0"/>
  </r>
  <r>
    <n v="16773"/>
    <x v="0"/>
    <x v="1"/>
    <n v="60000"/>
    <x v="0"/>
    <x v="4"/>
    <x v="0"/>
    <s v="Yes"/>
    <n v="0"/>
    <x v="0"/>
    <x v="2"/>
    <x v="6"/>
    <x v="0"/>
  </r>
  <r>
    <n v="19143"/>
    <x v="1"/>
    <x v="0"/>
    <n v="80000"/>
    <x v="1"/>
    <x v="0"/>
    <x v="0"/>
    <s v="Yes"/>
    <n v="2"/>
    <x v="1"/>
    <x v="2"/>
    <x v="3"/>
    <x v="1"/>
  </r>
  <r>
    <n v="23882"/>
    <x v="1"/>
    <x v="0"/>
    <n v="80000"/>
    <x v="1"/>
    <x v="4"/>
    <x v="2"/>
    <s v="Yes"/>
    <n v="0"/>
    <x v="0"/>
    <x v="2"/>
    <x v="34"/>
    <x v="1"/>
  </r>
  <r>
    <n v="11233"/>
    <x v="0"/>
    <x v="1"/>
    <n v="70000"/>
    <x v="5"/>
    <x v="1"/>
    <x v="2"/>
    <s v="Yes"/>
    <n v="2"/>
    <x v="4"/>
    <x v="2"/>
    <x v="39"/>
    <x v="0"/>
  </r>
  <r>
    <n v="12056"/>
    <x v="0"/>
    <x v="1"/>
    <n v="120000"/>
    <x v="4"/>
    <x v="4"/>
    <x v="4"/>
    <s v="Yes"/>
    <n v="3"/>
    <x v="2"/>
    <x v="2"/>
    <x v="46"/>
    <x v="0"/>
  </r>
  <r>
    <n v="15555"/>
    <x v="0"/>
    <x v="0"/>
    <n v="60000"/>
    <x v="0"/>
    <x v="1"/>
    <x v="0"/>
    <s v="Yes"/>
    <n v="1"/>
    <x v="1"/>
    <x v="2"/>
    <x v="12"/>
    <x v="1"/>
  </r>
  <r>
    <n v="18423"/>
    <x v="1"/>
    <x v="1"/>
    <n v="80000"/>
    <x v="4"/>
    <x v="3"/>
    <x v="0"/>
    <s v="No"/>
    <n v="2"/>
    <x v="3"/>
    <x v="2"/>
    <x v="31"/>
    <x v="0"/>
  </r>
  <r>
    <n v="22743"/>
    <x v="0"/>
    <x v="0"/>
    <n v="40000"/>
    <x v="2"/>
    <x v="2"/>
    <x v="2"/>
    <s v="Yes"/>
    <n v="2"/>
    <x v="4"/>
    <x v="2"/>
    <x v="2"/>
    <x v="0"/>
  </r>
  <r>
    <n v="25343"/>
    <x v="1"/>
    <x v="0"/>
    <n v="20000"/>
    <x v="1"/>
    <x v="3"/>
    <x v="1"/>
    <s v="Yes"/>
    <n v="2"/>
    <x v="3"/>
    <x v="2"/>
    <x v="5"/>
    <x v="0"/>
  </r>
  <r>
    <n v="13390"/>
    <x v="0"/>
    <x v="0"/>
    <n v="70000"/>
    <x v="5"/>
    <x v="1"/>
    <x v="2"/>
    <s v="No"/>
    <n v="1"/>
    <x v="3"/>
    <x v="2"/>
    <x v="16"/>
    <x v="0"/>
  </r>
  <r>
    <n v="17482"/>
    <x v="1"/>
    <x v="0"/>
    <n v="40000"/>
    <x v="3"/>
    <x v="3"/>
    <x v="1"/>
    <s v="Yes"/>
    <n v="2"/>
    <x v="2"/>
    <x v="2"/>
    <x v="19"/>
    <x v="0"/>
  </r>
  <r>
    <n v="13176"/>
    <x v="1"/>
    <x v="1"/>
    <n v="130000"/>
    <x v="3"/>
    <x v="4"/>
    <x v="4"/>
    <s v="No"/>
    <n v="2"/>
    <x v="0"/>
    <x v="2"/>
    <x v="13"/>
    <x v="1"/>
  </r>
  <r>
    <n v="20504"/>
    <x v="0"/>
    <x v="0"/>
    <n v="40000"/>
    <x v="2"/>
    <x v="2"/>
    <x v="2"/>
    <s v="No"/>
    <n v="2"/>
    <x v="1"/>
    <x v="2"/>
    <x v="2"/>
    <x v="0"/>
  </r>
  <r>
    <n v="12205"/>
    <x v="1"/>
    <x v="0"/>
    <n v="130000"/>
    <x v="4"/>
    <x v="0"/>
    <x v="4"/>
    <s v="No"/>
    <n v="4"/>
    <x v="0"/>
    <x v="2"/>
    <x v="41"/>
    <x v="0"/>
  </r>
  <r>
    <n v="16751"/>
    <x v="0"/>
    <x v="1"/>
    <n v="60000"/>
    <x v="3"/>
    <x v="1"/>
    <x v="0"/>
    <s v="Yes"/>
    <n v="1"/>
    <x v="2"/>
    <x v="2"/>
    <x v="21"/>
    <x v="1"/>
  </r>
  <r>
    <n v="21613"/>
    <x v="1"/>
    <x v="1"/>
    <n v="50000"/>
    <x v="4"/>
    <x v="0"/>
    <x v="0"/>
    <s v="No"/>
    <n v="1"/>
    <x v="0"/>
    <x v="2"/>
    <x v="32"/>
    <x v="1"/>
  </r>
  <r>
    <n v="24801"/>
    <x v="1"/>
    <x v="1"/>
    <n v="60000"/>
    <x v="0"/>
    <x v="4"/>
    <x v="2"/>
    <s v="Yes"/>
    <n v="0"/>
    <x v="1"/>
    <x v="2"/>
    <x v="11"/>
    <x v="1"/>
  </r>
  <r>
    <n v="17519"/>
    <x v="0"/>
    <x v="0"/>
    <n v="60000"/>
    <x v="3"/>
    <x v="1"/>
    <x v="2"/>
    <s v="Yes"/>
    <n v="2"/>
    <x v="2"/>
    <x v="2"/>
    <x v="21"/>
    <x v="0"/>
  </r>
  <r>
    <n v="18347"/>
    <x v="1"/>
    <x v="0"/>
    <n v="30000"/>
    <x v="3"/>
    <x v="1"/>
    <x v="0"/>
    <s v="No"/>
    <n v="1"/>
    <x v="3"/>
    <x v="2"/>
    <x v="23"/>
    <x v="0"/>
  </r>
  <r>
    <n v="29052"/>
    <x v="1"/>
    <x v="1"/>
    <n v="40000"/>
    <x v="3"/>
    <x v="1"/>
    <x v="0"/>
    <s v="Yes"/>
    <n v="1"/>
    <x v="2"/>
    <x v="2"/>
    <x v="40"/>
    <x v="0"/>
  </r>
  <r>
    <n v="11745"/>
    <x v="0"/>
    <x v="0"/>
    <n v="60000"/>
    <x v="0"/>
    <x v="0"/>
    <x v="2"/>
    <s v="Yes"/>
    <n v="1"/>
    <x v="0"/>
    <x v="2"/>
    <x v="15"/>
    <x v="1"/>
  </r>
  <r>
    <n v="19147"/>
    <x v="0"/>
    <x v="1"/>
    <n v="40000"/>
    <x v="3"/>
    <x v="0"/>
    <x v="2"/>
    <s v="No"/>
    <n v="1"/>
    <x v="0"/>
    <x v="2"/>
    <x v="0"/>
    <x v="0"/>
  </r>
  <r>
    <n v="19217"/>
    <x v="0"/>
    <x v="1"/>
    <n v="30000"/>
    <x v="4"/>
    <x v="2"/>
    <x v="0"/>
    <s v="Yes"/>
    <n v="2"/>
    <x v="3"/>
    <x v="2"/>
    <x v="38"/>
    <x v="0"/>
  </r>
  <r>
    <n v="15839"/>
    <x v="1"/>
    <x v="1"/>
    <n v="30000"/>
    <x v="3"/>
    <x v="1"/>
    <x v="0"/>
    <s v="Yes"/>
    <n v="1"/>
    <x v="2"/>
    <x v="2"/>
    <x v="21"/>
    <x v="0"/>
  </r>
  <r>
    <n v="13714"/>
    <x v="0"/>
    <x v="0"/>
    <n v="20000"/>
    <x v="4"/>
    <x v="2"/>
    <x v="3"/>
    <s v="No"/>
    <n v="2"/>
    <x v="3"/>
    <x v="2"/>
    <x v="39"/>
    <x v="1"/>
  </r>
  <r>
    <n v="22330"/>
    <x v="0"/>
    <x v="1"/>
    <n v="50000"/>
    <x v="3"/>
    <x v="4"/>
    <x v="0"/>
    <s v="Yes"/>
    <n v="0"/>
    <x v="3"/>
    <x v="2"/>
    <x v="21"/>
    <x v="1"/>
  </r>
  <r>
    <n v="18783"/>
    <x v="1"/>
    <x v="1"/>
    <n v="80000"/>
    <x v="3"/>
    <x v="0"/>
    <x v="4"/>
    <s v="No"/>
    <n v="1"/>
    <x v="0"/>
    <x v="2"/>
    <x v="13"/>
    <x v="1"/>
  </r>
  <r>
    <n v="25041"/>
    <x v="1"/>
    <x v="1"/>
    <n v="40000"/>
    <x v="3"/>
    <x v="2"/>
    <x v="0"/>
    <s v="Yes"/>
    <n v="2"/>
    <x v="2"/>
    <x v="2"/>
    <x v="23"/>
    <x v="0"/>
  </r>
  <r>
    <n v="22046"/>
    <x v="1"/>
    <x v="0"/>
    <n v="80000"/>
    <x v="3"/>
    <x v="0"/>
    <x v="4"/>
    <s v="No"/>
    <n v="1"/>
    <x v="0"/>
    <x v="2"/>
    <x v="13"/>
    <x v="1"/>
  </r>
  <r>
    <n v="28052"/>
    <x v="0"/>
    <x v="1"/>
    <n v="60000"/>
    <x v="4"/>
    <x v="2"/>
    <x v="2"/>
    <s v="Yes"/>
    <n v="2"/>
    <x v="4"/>
    <x v="2"/>
    <x v="10"/>
    <x v="0"/>
  </r>
  <r>
    <n v="26693"/>
    <x v="0"/>
    <x v="1"/>
    <n v="70000"/>
    <x v="1"/>
    <x v="1"/>
    <x v="2"/>
    <s v="Yes"/>
    <n v="1"/>
    <x v="2"/>
    <x v="2"/>
    <x v="38"/>
    <x v="0"/>
  </r>
  <r>
    <n v="24955"/>
    <x v="1"/>
    <x v="1"/>
    <n v="30000"/>
    <x v="2"/>
    <x v="3"/>
    <x v="0"/>
    <s v="Yes"/>
    <n v="3"/>
    <x v="4"/>
    <x v="2"/>
    <x v="2"/>
    <x v="1"/>
  </r>
  <r>
    <n v="26065"/>
    <x v="1"/>
    <x v="0"/>
    <n v="110000"/>
    <x v="1"/>
    <x v="0"/>
    <x v="4"/>
    <s v="No"/>
    <n v="4"/>
    <x v="3"/>
    <x v="2"/>
    <x v="0"/>
    <x v="0"/>
  </r>
  <r>
    <n v="13942"/>
    <x v="0"/>
    <x v="1"/>
    <n v="60000"/>
    <x v="0"/>
    <x v="1"/>
    <x v="0"/>
    <s v="Yes"/>
    <n v="1"/>
    <x v="0"/>
    <x v="2"/>
    <x v="30"/>
    <x v="0"/>
  </r>
  <r>
    <n v="11219"/>
    <x v="0"/>
    <x v="1"/>
    <n v="60000"/>
    <x v="4"/>
    <x v="2"/>
    <x v="2"/>
    <s v="Yes"/>
    <n v="2"/>
    <x v="4"/>
    <x v="2"/>
    <x v="10"/>
    <x v="0"/>
  </r>
  <r>
    <n v="22118"/>
    <x v="1"/>
    <x v="0"/>
    <n v="70000"/>
    <x v="1"/>
    <x v="4"/>
    <x v="4"/>
    <s v="Yes"/>
    <n v="2"/>
    <x v="2"/>
    <x v="2"/>
    <x v="39"/>
    <x v="1"/>
  </r>
  <r>
    <n v="23197"/>
    <x v="0"/>
    <x v="1"/>
    <n v="50000"/>
    <x v="1"/>
    <x v="0"/>
    <x v="0"/>
    <s v="Yes"/>
    <n v="2"/>
    <x v="1"/>
    <x v="2"/>
    <x v="8"/>
    <x v="0"/>
  </r>
  <r>
    <n v="14883"/>
    <x v="0"/>
    <x v="0"/>
    <n v="30000"/>
    <x v="0"/>
    <x v="0"/>
    <x v="0"/>
    <s v="Yes"/>
    <n v="1"/>
    <x v="2"/>
    <x v="2"/>
    <x v="39"/>
    <x v="1"/>
  </r>
  <r>
    <n v="27279"/>
    <x v="1"/>
    <x v="0"/>
    <n v="70000"/>
    <x v="4"/>
    <x v="0"/>
    <x v="0"/>
    <s v="Yes"/>
    <n v="0"/>
    <x v="1"/>
    <x v="2"/>
    <x v="13"/>
    <x v="1"/>
  </r>
  <r>
    <n v="18322"/>
    <x v="1"/>
    <x v="1"/>
    <n v="30000"/>
    <x v="3"/>
    <x v="3"/>
    <x v="1"/>
    <s v="No"/>
    <n v="2"/>
    <x v="0"/>
    <x v="2"/>
    <x v="22"/>
    <x v="0"/>
  </r>
  <r>
    <n v="15879"/>
    <x v="0"/>
    <x v="1"/>
    <n v="70000"/>
    <x v="2"/>
    <x v="0"/>
    <x v="4"/>
    <s v="Yes"/>
    <n v="2"/>
    <x v="1"/>
    <x v="2"/>
    <x v="33"/>
    <x v="0"/>
  </r>
  <r>
    <n v="28278"/>
    <x v="0"/>
    <x v="1"/>
    <n v="50000"/>
    <x v="4"/>
    <x v="4"/>
    <x v="4"/>
    <s v="Yes"/>
    <n v="2"/>
    <x v="2"/>
    <x v="2"/>
    <x v="51"/>
    <x v="0"/>
  </r>
  <r>
    <n v="24416"/>
    <x v="0"/>
    <x v="1"/>
    <n v="90000"/>
    <x v="5"/>
    <x v="2"/>
    <x v="2"/>
    <s v="Yes"/>
    <n v="2"/>
    <x v="3"/>
    <x v="2"/>
    <x v="12"/>
    <x v="0"/>
  </r>
  <r>
    <n v="28066"/>
    <x v="0"/>
    <x v="1"/>
    <n v="80000"/>
    <x v="4"/>
    <x v="4"/>
    <x v="2"/>
    <s v="Yes"/>
    <n v="0"/>
    <x v="0"/>
    <x v="2"/>
    <x v="34"/>
    <x v="1"/>
  </r>
  <r>
    <n v="11275"/>
    <x v="0"/>
    <x v="0"/>
    <n v="80000"/>
    <x v="5"/>
    <x v="4"/>
    <x v="4"/>
    <s v="Yes"/>
    <n v="2"/>
    <x v="0"/>
    <x v="2"/>
    <x v="52"/>
    <x v="1"/>
  </r>
  <r>
    <n v="14872"/>
    <x v="0"/>
    <x v="1"/>
    <n v="30000"/>
    <x v="3"/>
    <x v="4"/>
    <x v="0"/>
    <s v="Yes"/>
    <n v="0"/>
    <x v="0"/>
    <x v="2"/>
    <x v="21"/>
    <x v="0"/>
  </r>
  <r>
    <n v="16151"/>
    <x v="0"/>
    <x v="0"/>
    <n v="60000"/>
    <x v="0"/>
    <x v="0"/>
    <x v="2"/>
    <s v="Yes"/>
    <n v="1"/>
    <x v="1"/>
    <x v="2"/>
    <x v="28"/>
    <x v="1"/>
  </r>
  <r>
    <n v="19731"/>
    <x v="0"/>
    <x v="1"/>
    <n v="80000"/>
    <x v="5"/>
    <x v="4"/>
    <x v="4"/>
    <s v="Yes"/>
    <n v="2"/>
    <x v="2"/>
    <x v="2"/>
    <x v="35"/>
    <x v="0"/>
  </r>
  <r>
    <n v="23801"/>
    <x v="0"/>
    <x v="0"/>
    <n v="20000"/>
    <x v="4"/>
    <x v="3"/>
    <x v="1"/>
    <s v="Yes"/>
    <n v="2"/>
    <x v="0"/>
    <x v="2"/>
    <x v="38"/>
    <x v="0"/>
  </r>
  <r>
    <n v="11807"/>
    <x v="0"/>
    <x v="1"/>
    <n v="70000"/>
    <x v="1"/>
    <x v="4"/>
    <x v="2"/>
    <s v="Yes"/>
    <n v="0"/>
    <x v="1"/>
    <x v="2"/>
    <x v="17"/>
    <x v="0"/>
  </r>
  <r>
    <n v="11622"/>
    <x v="0"/>
    <x v="1"/>
    <n v="50000"/>
    <x v="3"/>
    <x v="4"/>
    <x v="0"/>
    <s v="Yes"/>
    <n v="0"/>
    <x v="0"/>
    <x v="2"/>
    <x v="21"/>
    <x v="0"/>
  </r>
  <r>
    <n v="26597"/>
    <x v="1"/>
    <x v="0"/>
    <n v="60000"/>
    <x v="5"/>
    <x v="0"/>
    <x v="0"/>
    <s v="No"/>
    <n v="2"/>
    <x v="0"/>
    <x v="2"/>
    <x v="0"/>
    <x v="0"/>
  </r>
  <r>
    <n v="27074"/>
    <x v="0"/>
    <x v="0"/>
    <n v="70000"/>
    <x v="0"/>
    <x v="4"/>
    <x v="0"/>
    <s v="Yes"/>
    <n v="0"/>
    <x v="0"/>
    <x v="2"/>
    <x v="11"/>
    <x v="1"/>
  </r>
  <r>
    <n v="19228"/>
    <x v="0"/>
    <x v="0"/>
    <n v="40000"/>
    <x v="4"/>
    <x v="1"/>
    <x v="1"/>
    <s v="Yes"/>
    <n v="1"/>
    <x v="0"/>
    <x v="2"/>
    <x v="28"/>
    <x v="0"/>
  </r>
  <r>
    <n v="13415"/>
    <x v="1"/>
    <x v="1"/>
    <n v="100000"/>
    <x v="0"/>
    <x v="4"/>
    <x v="4"/>
    <s v="Yes"/>
    <n v="3"/>
    <x v="1"/>
    <x v="2"/>
    <x v="49"/>
    <x v="1"/>
  </r>
  <r>
    <n v="17000"/>
    <x v="1"/>
    <x v="0"/>
    <n v="70000"/>
    <x v="5"/>
    <x v="0"/>
    <x v="0"/>
    <s v="Yes"/>
    <n v="2"/>
    <x v="1"/>
    <x v="2"/>
    <x v="1"/>
    <x v="1"/>
  </r>
  <r>
    <n v="14569"/>
    <x v="0"/>
    <x v="1"/>
    <n v="60000"/>
    <x v="0"/>
    <x v="4"/>
    <x v="2"/>
    <s v="Yes"/>
    <n v="0"/>
    <x v="0"/>
    <x v="2"/>
    <x v="11"/>
    <x v="0"/>
  </r>
  <r>
    <n v="13873"/>
    <x v="0"/>
    <x v="1"/>
    <n v="70000"/>
    <x v="1"/>
    <x v="4"/>
    <x v="2"/>
    <s v="Yes"/>
    <n v="0"/>
    <x v="0"/>
    <x v="2"/>
    <x v="11"/>
    <x v="1"/>
  </r>
  <r>
    <n v="20401"/>
    <x v="0"/>
    <x v="0"/>
    <n v="50000"/>
    <x v="5"/>
    <x v="0"/>
    <x v="4"/>
    <s v="Yes"/>
    <n v="2"/>
    <x v="3"/>
    <x v="2"/>
    <x v="46"/>
    <x v="1"/>
  </r>
  <r>
    <n v="21583"/>
    <x v="0"/>
    <x v="0"/>
    <n v="50000"/>
    <x v="0"/>
    <x v="0"/>
    <x v="0"/>
    <s v="Yes"/>
    <n v="0"/>
    <x v="0"/>
    <x v="2"/>
    <x v="17"/>
    <x v="1"/>
  </r>
  <r>
    <n v="12029"/>
    <x v="0"/>
    <x v="1"/>
    <n v="30000"/>
    <x v="3"/>
    <x v="3"/>
    <x v="1"/>
    <s v="No"/>
    <n v="2"/>
    <x v="0"/>
    <x v="2"/>
    <x v="26"/>
    <x v="0"/>
  </r>
  <r>
    <n v="18066"/>
    <x v="1"/>
    <x v="1"/>
    <n v="70000"/>
    <x v="2"/>
    <x v="0"/>
    <x v="4"/>
    <s v="Yes"/>
    <n v="3"/>
    <x v="4"/>
    <x v="2"/>
    <x v="2"/>
    <x v="1"/>
  </r>
  <r>
    <n v="28192"/>
    <x v="0"/>
    <x v="0"/>
    <n v="70000"/>
    <x v="2"/>
    <x v="4"/>
    <x v="2"/>
    <s v="Yes"/>
    <n v="3"/>
    <x v="4"/>
    <x v="2"/>
    <x v="30"/>
    <x v="0"/>
  </r>
  <r>
    <n v="16122"/>
    <x v="0"/>
    <x v="1"/>
    <n v="40000"/>
    <x v="5"/>
    <x v="2"/>
    <x v="0"/>
    <s v="Yes"/>
    <n v="2"/>
    <x v="0"/>
    <x v="2"/>
    <x v="20"/>
    <x v="1"/>
  </r>
  <r>
    <n v="18607"/>
    <x v="1"/>
    <x v="0"/>
    <n v="60000"/>
    <x v="5"/>
    <x v="0"/>
    <x v="0"/>
    <s v="Yes"/>
    <n v="2"/>
    <x v="1"/>
    <x v="2"/>
    <x v="0"/>
    <x v="1"/>
  </r>
  <r>
    <n v="28858"/>
    <x v="1"/>
    <x v="1"/>
    <n v="80000"/>
    <x v="1"/>
    <x v="0"/>
    <x v="0"/>
    <s v="Yes"/>
    <n v="0"/>
    <x v="1"/>
    <x v="2"/>
    <x v="8"/>
    <x v="0"/>
  </r>
  <r>
    <n v="14432"/>
    <x v="1"/>
    <x v="1"/>
    <n v="90000"/>
    <x v="5"/>
    <x v="4"/>
    <x v="4"/>
    <s v="Yes"/>
    <n v="1"/>
    <x v="2"/>
    <x v="2"/>
    <x v="49"/>
    <x v="0"/>
  </r>
  <r>
    <n v="26305"/>
    <x v="1"/>
    <x v="0"/>
    <n v="60000"/>
    <x v="4"/>
    <x v="0"/>
    <x v="0"/>
    <s v="No"/>
    <n v="0"/>
    <x v="0"/>
    <x v="2"/>
    <x v="4"/>
    <x v="1"/>
  </r>
  <r>
    <n v="22050"/>
    <x v="1"/>
    <x v="1"/>
    <n v="90000"/>
    <x v="5"/>
    <x v="0"/>
    <x v="4"/>
    <s v="Yes"/>
    <n v="1"/>
    <x v="3"/>
    <x v="2"/>
    <x v="13"/>
    <x v="1"/>
  </r>
  <r>
    <n v="25394"/>
    <x v="0"/>
    <x v="1"/>
    <n v="60000"/>
    <x v="0"/>
    <x v="4"/>
    <x v="2"/>
    <s v="Yes"/>
    <n v="0"/>
    <x v="1"/>
    <x v="2"/>
    <x v="17"/>
    <x v="1"/>
  </r>
  <r>
    <n v="19747"/>
    <x v="0"/>
    <x v="1"/>
    <n v="50000"/>
    <x v="5"/>
    <x v="0"/>
    <x v="4"/>
    <s v="Yes"/>
    <n v="2"/>
    <x v="4"/>
    <x v="2"/>
    <x v="18"/>
    <x v="0"/>
  </r>
  <r>
    <n v="23195"/>
    <x v="1"/>
    <x v="1"/>
    <n v="50000"/>
    <x v="1"/>
    <x v="0"/>
    <x v="0"/>
    <s v="Yes"/>
    <n v="2"/>
    <x v="1"/>
    <x v="2"/>
    <x v="3"/>
    <x v="1"/>
  </r>
  <r>
    <n v="21695"/>
    <x v="0"/>
    <x v="1"/>
    <n v="60000"/>
    <x v="3"/>
    <x v="4"/>
    <x v="0"/>
    <s v="Yes"/>
    <n v="0"/>
    <x v="3"/>
    <x v="2"/>
    <x v="32"/>
    <x v="1"/>
  </r>
  <r>
    <n v="13934"/>
    <x v="0"/>
    <x v="1"/>
    <n v="40000"/>
    <x v="5"/>
    <x v="2"/>
    <x v="0"/>
    <s v="Yes"/>
    <n v="2"/>
    <x v="1"/>
    <x v="2"/>
    <x v="30"/>
    <x v="0"/>
  </r>
  <r>
    <n v="13337"/>
    <x v="0"/>
    <x v="0"/>
    <n v="80000"/>
    <x v="2"/>
    <x v="0"/>
    <x v="4"/>
    <s v="Yes"/>
    <n v="2"/>
    <x v="2"/>
    <x v="2"/>
    <x v="46"/>
    <x v="0"/>
  </r>
  <r>
    <n v="27190"/>
    <x v="0"/>
    <x v="0"/>
    <n v="40000"/>
    <x v="1"/>
    <x v="1"/>
    <x v="1"/>
    <s v="Yes"/>
    <n v="1"/>
    <x v="3"/>
    <x v="2"/>
    <x v="21"/>
    <x v="0"/>
  </r>
  <r>
    <n v="28657"/>
    <x v="1"/>
    <x v="1"/>
    <n v="60000"/>
    <x v="4"/>
    <x v="0"/>
    <x v="0"/>
    <s v="Yes"/>
    <n v="0"/>
    <x v="1"/>
    <x v="2"/>
    <x v="4"/>
    <x v="1"/>
  </r>
  <r>
    <n v="21713"/>
    <x v="1"/>
    <x v="1"/>
    <n v="80000"/>
    <x v="2"/>
    <x v="4"/>
    <x v="0"/>
    <s v="No"/>
    <n v="0"/>
    <x v="0"/>
    <x v="2"/>
    <x v="15"/>
    <x v="0"/>
  </r>
  <r>
    <n v="21752"/>
    <x v="0"/>
    <x v="1"/>
    <n v="60000"/>
    <x v="1"/>
    <x v="4"/>
    <x v="4"/>
    <s v="Yes"/>
    <n v="2"/>
    <x v="4"/>
    <x v="2"/>
    <x v="46"/>
    <x v="0"/>
  </r>
  <r>
    <n v="27273"/>
    <x v="1"/>
    <x v="1"/>
    <n v="70000"/>
    <x v="1"/>
    <x v="4"/>
    <x v="2"/>
    <s v="No"/>
    <n v="0"/>
    <x v="0"/>
    <x v="2"/>
    <x v="11"/>
    <x v="1"/>
  </r>
  <r>
    <n v="22719"/>
    <x v="1"/>
    <x v="1"/>
    <n v="110000"/>
    <x v="1"/>
    <x v="0"/>
    <x v="4"/>
    <s v="Yes"/>
    <n v="4"/>
    <x v="1"/>
    <x v="2"/>
    <x v="8"/>
    <x v="1"/>
  </r>
  <r>
    <n v="22042"/>
    <x v="0"/>
    <x v="0"/>
    <n v="70000"/>
    <x v="3"/>
    <x v="1"/>
    <x v="0"/>
    <s v="Yes"/>
    <n v="2"/>
    <x v="2"/>
    <x v="2"/>
    <x v="17"/>
    <x v="1"/>
  </r>
  <r>
    <n v="21451"/>
    <x v="0"/>
    <x v="0"/>
    <n v="40000"/>
    <x v="5"/>
    <x v="2"/>
    <x v="2"/>
    <s v="Yes"/>
    <n v="2"/>
    <x v="4"/>
    <x v="2"/>
    <x v="33"/>
    <x v="0"/>
  </r>
  <r>
    <n v="20754"/>
    <x v="0"/>
    <x v="1"/>
    <n v="30000"/>
    <x v="4"/>
    <x v="2"/>
    <x v="0"/>
    <s v="Yes"/>
    <n v="2"/>
    <x v="3"/>
    <x v="2"/>
    <x v="36"/>
    <x v="0"/>
  </r>
  <r>
    <n v="12153"/>
    <x v="1"/>
    <x v="0"/>
    <n v="70000"/>
    <x v="1"/>
    <x v="1"/>
    <x v="2"/>
    <s v="Yes"/>
    <n v="1"/>
    <x v="2"/>
    <x v="2"/>
    <x v="38"/>
    <x v="1"/>
  </r>
  <r>
    <n v="16895"/>
    <x v="0"/>
    <x v="0"/>
    <n v="40000"/>
    <x v="1"/>
    <x v="1"/>
    <x v="2"/>
    <s v="No"/>
    <n v="2"/>
    <x v="3"/>
    <x v="2"/>
    <x v="9"/>
    <x v="1"/>
  </r>
  <r>
    <n v="26728"/>
    <x v="1"/>
    <x v="1"/>
    <n v="70000"/>
    <x v="1"/>
    <x v="4"/>
    <x v="4"/>
    <s v="No"/>
    <n v="2"/>
    <x v="3"/>
    <x v="2"/>
    <x v="39"/>
    <x v="1"/>
  </r>
  <r>
    <n v="11090"/>
    <x v="1"/>
    <x v="1"/>
    <n v="90000"/>
    <x v="4"/>
    <x v="1"/>
    <x v="2"/>
    <s v="Yes"/>
    <n v="1"/>
    <x v="1"/>
    <x v="2"/>
    <x v="28"/>
    <x v="1"/>
  </r>
  <r>
    <n v="15862"/>
    <x v="1"/>
    <x v="0"/>
    <n v="50000"/>
    <x v="3"/>
    <x v="4"/>
    <x v="0"/>
    <s v="Yes"/>
    <n v="0"/>
    <x v="3"/>
    <x v="2"/>
    <x v="6"/>
    <x v="1"/>
  </r>
  <r>
    <n v="26495"/>
    <x v="1"/>
    <x v="0"/>
    <n v="40000"/>
    <x v="4"/>
    <x v="2"/>
    <x v="2"/>
    <s v="Yes"/>
    <n v="2"/>
    <x v="4"/>
    <x v="2"/>
    <x v="42"/>
    <x v="0"/>
  </r>
  <r>
    <n v="11823"/>
    <x v="0"/>
    <x v="0"/>
    <n v="70000"/>
    <x v="3"/>
    <x v="4"/>
    <x v="2"/>
    <s v="Yes"/>
    <n v="0"/>
    <x v="1"/>
    <x v="2"/>
    <x v="32"/>
    <x v="0"/>
  </r>
  <r>
    <n v="23449"/>
    <x v="0"/>
    <x v="1"/>
    <n v="60000"/>
    <x v="4"/>
    <x v="2"/>
    <x v="2"/>
    <s v="Yes"/>
    <n v="2"/>
    <x v="2"/>
    <x v="2"/>
    <x v="28"/>
    <x v="0"/>
  </r>
  <r>
    <n v="23459"/>
    <x v="0"/>
    <x v="1"/>
    <n v="60000"/>
    <x v="4"/>
    <x v="2"/>
    <x v="2"/>
    <s v="Yes"/>
    <n v="2"/>
    <x v="2"/>
    <x v="2"/>
    <x v="5"/>
    <x v="0"/>
  </r>
  <r>
    <n v="19543"/>
    <x v="0"/>
    <x v="1"/>
    <n v="70000"/>
    <x v="2"/>
    <x v="4"/>
    <x v="2"/>
    <s v="No"/>
    <n v="3"/>
    <x v="4"/>
    <x v="2"/>
    <x v="15"/>
    <x v="0"/>
  </r>
  <r>
    <n v="14914"/>
    <x v="0"/>
    <x v="0"/>
    <n v="40000"/>
    <x v="0"/>
    <x v="1"/>
    <x v="1"/>
    <s v="Yes"/>
    <n v="1"/>
    <x v="3"/>
    <x v="2"/>
    <x v="38"/>
    <x v="1"/>
  </r>
  <r>
    <n v="12033"/>
    <x v="1"/>
    <x v="0"/>
    <n v="40000"/>
    <x v="3"/>
    <x v="2"/>
    <x v="0"/>
    <s v="No"/>
    <n v="2"/>
    <x v="0"/>
    <x v="2"/>
    <x v="40"/>
    <x v="1"/>
  </r>
  <r>
    <n v="11941"/>
    <x v="1"/>
    <x v="1"/>
    <n v="60000"/>
    <x v="3"/>
    <x v="1"/>
    <x v="0"/>
    <s v="Yes"/>
    <n v="0"/>
    <x v="2"/>
    <x v="2"/>
    <x v="19"/>
    <x v="0"/>
  </r>
  <r>
    <n v="14389"/>
    <x v="0"/>
    <x v="1"/>
    <n v="60000"/>
    <x v="4"/>
    <x v="0"/>
    <x v="4"/>
    <s v="Yes"/>
    <n v="0"/>
    <x v="1"/>
    <x v="2"/>
    <x v="14"/>
    <x v="0"/>
  </r>
  <r>
    <n v="18050"/>
    <x v="0"/>
    <x v="0"/>
    <n v="60000"/>
    <x v="0"/>
    <x v="1"/>
    <x v="0"/>
    <s v="Yes"/>
    <n v="1"/>
    <x v="0"/>
    <x v="2"/>
    <x v="12"/>
    <x v="1"/>
  </r>
  <r>
    <n v="19856"/>
    <x v="0"/>
    <x v="0"/>
    <n v="60000"/>
    <x v="5"/>
    <x v="0"/>
    <x v="4"/>
    <s v="Yes"/>
    <n v="2"/>
    <x v="1"/>
    <x v="2"/>
    <x v="2"/>
    <x v="0"/>
  </r>
  <r>
    <n v="11663"/>
    <x v="0"/>
    <x v="1"/>
    <n v="70000"/>
    <x v="5"/>
    <x v="4"/>
    <x v="2"/>
    <s v="Yes"/>
    <n v="0"/>
    <x v="0"/>
    <x v="2"/>
    <x v="4"/>
    <x v="1"/>
  </r>
  <r>
    <n v="27740"/>
    <x v="0"/>
    <x v="0"/>
    <n v="40000"/>
    <x v="3"/>
    <x v="2"/>
    <x v="0"/>
    <s v="Yes"/>
    <n v="2"/>
    <x v="2"/>
    <x v="2"/>
    <x v="40"/>
    <x v="0"/>
  </r>
  <r>
    <n v="23455"/>
    <x v="1"/>
    <x v="1"/>
    <n v="80000"/>
    <x v="4"/>
    <x v="3"/>
    <x v="0"/>
    <s v="No"/>
    <n v="2"/>
    <x v="3"/>
    <x v="2"/>
    <x v="5"/>
    <x v="0"/>
  </r>
  <r>
    <n v="15292"/>
    <x v="1"/>
    <x v="0"/>
    <n v="60000"/>
    <x v="0"/>
    <x v="4"/>
    <x v="0"/>
    <s v="Yes"/>
    <n v="0"/>
    <x v="3"/>
    <x v="2"/>
    <x v="11"/>
    <x v="0"/>
  </r>
  <r>
    <n v="21587"/>
    <x v="0"/>
    <x v="0"/>
    <n v="60000"/>
    <x v="0"/>
    <x v="4"/>
    <x v="0"/>
    <s v="Yes"/>
    <n v="0"/>
    <x v="1"/>
    <x v="2"/>
    <x v="17"/>
    <x v="1"/>
  </r>
  <r>
    <n v="23513"/>
    <x v="0"/>
    <x v="0"/>
    <n v="40000"/>
    <x v="1"/>
    <x v="1"/>
    <x v="2"/>
    <s v="Yes"/>
    <n v="2"/>
    <x v="2"/>
    <x v="2"/>
    <x v="9"/>
    <x v="0"/>
  </r>
  <r>
    <n v="24322"/>
    <x v="0"/>
    <x v="0"/>
    <n v="60000"/>
    <x v="5"/>
    <x v="0"/>
    <x v="0"/>
    <s v="No"/>
    <n v="2"/>
    <x v="0"/>
    <x v="2"/>
    <x v="0"/>
    <x v="0"/>
  </r>
  <r>
    <n v="26298"/>
    <x v="0"/>
    <x v="0"/>
    <n v="50000"/>
    <x v="0"/>
    <x v="0"/>
    <x v="0"/>
    <s v="Yes"/>
    <n v="0"/>
    <x v="1"/>
    <x v="2"/>
    <x v="17"/>
    <x v="1"/>
  </r>
  <r>
    <n v="25419"/>
    <x v="1"/>
    <x v="1"/>
    <n v="50000"/>
    <x v="4"/>
    <x v="0"/>
    <x v="0"/>
    <s v="No"/>
    <n v="1"/>
    <x v="0"/>
    <x v="2"/>
    <x v="13"/>
    <x v="1"/>
  </r>
  <r>
    <n v="13343"/>
    <x v="0"/>
    <x v="0"/>
    <n v="90000"/>
    <x v="2"/>
    <x v="0"/>
    <x v="4"/>
    <s v="Yes"/>
    <n v="2"/>
    <x v="3"/>
    <x v="2"/>
    <x v="18"/>
    <x v="1"/>
  </r>
  <r>
    <n v="11303"/>
    <x v="1"/>
    <x v="0"/>
    <n v="90000"/>
    <x v="5"/>
    <x v="2"/>
    <x v="2"/>
    <s v="No"/>
    <n v="3"/>
    <x v="3"/>
    <x v="2"/>
    <x v="12"/>
    <x v="1"/>
  </r>
  <r>
    <n v="21693"/>
    <x v="1"/>
    <x v="0"/>
    <n v="60000"/>
    <x v="3"/>
    <x v="4"/>
    <x v="0"/>
    <s v="No"/>
    <n v="0"/>
    <x v="0"/>
    <x v="2"/>
    <x v="8"/>
    <x v="0"/>
  </r>
  <r>
    <n v="28056"/>
    <x v="0"/>
    <x v="1"/>
    <n v="70000"/>
    <x v="4"/>
    <x v="3"/>
    <x v="0"/>
    <s v="Yes"/>
    <n v="2"/>
    <x v="4"/>
    <x v="2"/>
    <x v="39"/>
    <x v="0"/>
  </r>
  <r>
    <n v="11788"/>
    <x v="1"/>
    <x v="0"/>
    <n v="70000"/>
    <x v="0"/>
    <x v="4"/>
    <x v="2"/>
    <s v="Yes"/>
    <n v="0"/>
    <x v="1"/>
    <x v="2"/>
    <x v="17"/>
    <x v="0"/>
  </r>
  <r>
    <n v="22296"/>
    <x v="0"/>
    <x v="1"/>
    <n v="70000"/>
    <x v="3"/>
    <x v="0"/>
    <x v="2"/>
    <s v="No"/>
    <n v="1"/>
    <x v="0"/>
    <x v="2"/>
    <x v="13"/>
    <x v="0"/>
  </r>
  <r>
    <n v="15319"/>
    <x v="0"/>
    <x v="0"/>
    <n v="70000"/>
    <x v="5"/>
    <x v="0"/>
    <x v="4"/>
    <s v="No"/>
    <n v="1"/>
    <x v="3"/>
    <x v="2"/>
    <x v="14"/>
    <x v="0"/>
  </r>
  <r>
    <n v="17654"/>
    <x v="1"/>
    <x v="0"/>
    <n v="40000"/>
    <x v="1"/>
    <x v="1"/>
    <x v="1"/>
    <s v="Yes"/>
    <n v="1"/>
    <x v="3"/>
    <x v="2"/>
    <x v="25"/>
    <x v="1"/>
  </r>
  <r>
    <n v="14662"/>
    <x v="0"/>
    <x v="1"/>
    <n v="60000"/>
    <x v="0"/>
    <x v="0"/>
    <x v="2"/>
    <s v="Yes"/>
    <n v="1"/>
    <x v="0"/>
    <x v="2"/>
    <x v="28"/>
    <x v="1"/>
  </r>
  <r>
    <n v="17541"/>
    <x v="0"/>
    <x v="0"/>
    <n v="40000"/>
    <x v="5"/>
    <x v="2"/>
    <x v="0"/>
    <s v="Yes"/>
    <n v="2"/>
    <x v="1"/>
    <x v="2"/>
    <x v="1"/>
    <x v="0"/>
  </r>
  <r>
    <n v="13886"/>
    <x v="0"/>
    <x v="0"/>
    <n v="70000"/>
    <x v="5"/>
    <x v="4"/>
    <x v="2"/>
    <s v="Yes"/>
    <n v="0"/>
    <x v="1"/>
    <x v="2"/>
    <x v="11"/>
    <x v="1"/>
  </r>
  <r>
    <n v="13073"/>
    <x v="0"/>
    <x v="0"/>
    <n v="60000"/>
    <x v="3"/>
    <x v="1"/>
    <x v="2"/>
    <s v="Yes"/>
    <n v="2"/>
    <x v="2"/>
    <x v="2"/>
    <x v="25"/>
    <x v="0"/>
  </r>
  <r>
    <n v="21940"/>
    <x v="0"/>
    <x v="1"/>
    <n v="90000"/>
    <x v="2"/>
    <x v="4"/>
    <x v="2"/>
    <s v="Yes"/>
    <n v="0"/>
    <x v="0"/>
    <x v="2"/>
    <x v="15"/>
    <x v="1"/>
  </r>
  <r>
    <n v="20196"/>
    <x v="0"/>
    <x v="1"/>
    <n v="60000"/>
    <x v="0"/>
    <x v="1"/>
    <x v="0"/>
    <s v="Yes"/>
    <n v="1"/>
    <x v="1"/>
    <x v="2"/>
    <x v="12"/>
    <x v="1"/>
  </r>
  <r>
    <n v="23491"/>
    <x v="1"/>
    <x v="1"/>
    <n v="100000"/>
    <x v="3"/>
    <x v="1"/>
    <x v="2"/>
    <s v="No"/>
    <n v="4"/>
    <x v="3"/>
    <x v="2"/>
    <x v="12"/>
    <x v="0"/>
  </r>
  <r>
    <n v="16651"/>
    <x v="0"/>
    <x v="0"/>
    <n v="120000"/>
    <x v="4"/>
    <x v="0"/>
    <x v="4"/>
    <s v="Yes"/>
    <n v="3"/>
    <x v="2"/>
    <x v="2"/>
    <x v="24"/>
    <x v="0"/>
  </r>
  <r>
    <n v="16813"/>
    <x v="0"/>
    <x v="1"/>
    <n v="60000"/>
    <x v="4"/>
    <x v="1"/>
    <x v="2"/>
    <s v="Yes"/>
    <n v="2"/>
    <x v="4"/>
    <x v="2"/>
    <x v="10"/>
    <x v="0"/>
  </r>
  <r>
    <n v="16007"/>
    <x v="0"/>
    <x v="0"/>
    <n v="90000"/>
    <x v="2"/>
    <x v="0"/>
    <x v="4"/>
    <s v="Yes"/>
    <n v="2"/>
    <x v="3"/>
    <x v="2"/>
    <x v="29"/>
    <x v="1"/>
  </r>
  <r>
    <n v="27434"/>
    <x v="1"/>
    <x v="1"/>
    <n v="70000"/>
    <x v="5"/>
    <x v="1"/>
    <x v="2"/>
    <s v="Yes"/>
    <n v="1"/>
    <x v="4"/>
    <x v="2"/>
    <x v="16"/>
    <x v="0"/>
  </r>
  <r>
    <n v="27756"/>
    <x v="1"/>
    <x v="0"/>
    <n v="50000"/>
    <x v="1"/>
    <x v="0"/>
    <x v="0"/>
    <s v="No"/>
    <n v="1"/>
    <x v="0"/>
    <x v="2"/>
    <x v="8"/>
    <x v="0"/>
  </r>
  <r>
    <n v="23818"/>
    <x v="0"/>
    <x v="0"/>
    <n v="50000"/>
    <x v="3"/>
    <x v="4"/>
    <x v="0"/>
    <s v="Yes"/>
    <n v="0"/>
    <x v="3"/>
    <x v="2"/>
    <x v="6"/>
    <x v="1"/>
  </r>
  <r>
    <n v="19012"/>
    <x v="0"/>
    <x v="1"/>
    <n v="80000"/>
    <x v="1"/>
    <x v="0"/>
    <x v="4"/>
    <s v="Yes"/>
    <n v="1"/>
    <x v="3"/>
    <x v="2"/>
    <x v="16"/>
    <x v="0"/>
  </r>
  <r>
    <n v="18329"/>
    <x v="1"/>
    <x v="1"/>
    <n v="30000"/>
    <x v="3"/>
    <x v="3"/>
    <x v="1"/>
    <s v="No"/>
    <n v="2"/>
    <x v="2"/>
    <x v="2"/>
    <x v="40"/>
    <x v="0"/>
  </r>
  <r>
    <n v="29037"/>
    <x v="0"/>
    <x v="1"/>
    <n v="60000"/>
    <x v="3"/>
    <x v="4"/>
    <x v="2"/>
    <s v="No"/>
    <n v="0"/>
    <x v="0"/>
    <x v="2"/>
    <x v="32"/>
    <x v="0"/>
  </r>
  <r>
    <n v="26576"/>
    <x v="0"/>
    <x v="0"/>
    <n v="60000"/>
    <x v="3"/>
    <x v="1"/>
    <x v="0"/>
    <s v="Yes"/>
    <n v="2"/>
    <x v="2"/>
    <x v="2"/>
    <x v="23"/>
    <x v="0"/>
  </r>
  <r>
    <n v="12192"/>
    <x v="1"/>
    <x v="0"/>
    <n v="60000"/>
    <x v="4"/>
    <x v="3"/>
    <x v="0"/>
    <s v="No"/>
    <n v="2"/>
    <x v="3"/>
    <x v="2"/>
    <x v="36"/>
    <x v="0"/>
  </r>
  <r>
    <n v="14887"/>
    <x v="0"/>
    <x v="0"/>
    <n v="30000"/>
    <x v="0"/>
    <x v="2"/>
    <x v="1"/>
    <s v="Yes"/>
    <n v="1"/>
    <x v="2"/>
    <x v="2"/>
    <x v="31"/>
    <x v="0"/>
  </r>
  <r>
    <n v="11734"/>
    <x v="0"/>
    <x v="1"/>
    <n v="60000"/>
    <x v="0"/>
    <x v="1"/>
    <x v="0"/>
    <s v="No"/>
    <n v="1"/>
    <x v="0"/>
    <x v="2"/>
    <x v="15"/>
    <x v="0"/>
  </r>
  <r>
    <n v="17462"/>
    <x v="0"/>
    <x v="1"/>
    <n v="70000"/>
    <x v="1"/>
    <x v="4"/>
    <x v="4"/>
    <s v="Yes"/>
    <n v="2"/>
    <x v="2"/>
    <x v="2"/>
    <x v="39"/>
    <x v="1"/>
  </r>
  <r>
    <n v="20659"/>
    <x v="0"/>
    <x v="1"/>
    <n v="70000"/>
    <x v="1"/>
    <x v="4"/>
    <x v="2"/>
    <s v="Yes"/>
    <n v="0"/>
    <x v="0"/>
    <x v="2"/>
    <x v="11"/>
    <x v="1"/>
  </r>
  <r>
    <n v="28004"/>
    <x v="0"/>
    <x v="0"/>
    <n v="60000"/>
    <x v="1"/>
    <x v="0"/>
    <x v="4"/>
    <s v="Yes"/>
    <n v="2"/>
    <x v="4"/>
    <x v="2"/>
    <x v="29"/>
    <x v="0"/>
  </r>
  <r>
    <n v="19741"/>
    <x v="1"/>
    <x v="0"/>
    <n v="80000"/>
    <x v="5"/>
    <x v="4"/>
    <x v="4"/>
    <s v="Yes"/>
    <n v="2"/>
    <x v="2"/>
    <x v="2"/>
    <x v="27"/>
    <x v="0"/>
  </r>
  <r>
    <n v="17450"/>
    <x v="0"/>
    <x v="1"/>
    <n v="80000"/>
    <x v="2"/>
    <x v="1"/>
    <x v="2"/>
    <s v="Yes"/>
    <n v="3"/>
    <x v="2"/>
    <x v="2"/>
    <x v="12"/>
    <x v="0"/>
  </r>
  <r>
    <n v="17337"/>
    <x v="1"/>
    <x v="1"/>
    <n v="40000"/>
    <x v="3"/>
    <x v="2"/>
    <x v="0"/>
    <s v="Yes"/>
    <n v="1"/>
    <x v="2"/>
    <x v="2"/>
    <x v="23"/>
    <x v="0"/>
  </r>
  <r>
    <n v="18594"/>
    <x v="1"/>
    <x v="0"/>
    <n v="80000"/>
    <x v="1"/>
    <x v="0"/>
    <x v="0"/>
    <s v="Yes"/>
    <n v="3"/>
    <x v="4"/>
    <x v="2"/>
    <x v="8"/>
    <x v="1"/>
  </r>
  <r>
    <n v="15982"/>
    <x v="0"/>
    <x v="1"/>
    <n v="110000"/>
    <x v="2"/>
    <x v="1"/>
    <x v="2"/>
    <s v="Yes"/>
    <n v="4"/>
    <x v="1"/>
    <x v="2"/>
    <x v="30"/>
    <x v="0"/>
  </r>
  <r>
    <n v="28625"/>
    <x v="1"/>
    <x v="1"/>
    <n v="40000"/>
    <x v="4"/>
    <x v="1"/>
    <x v="1"/>
    <s v="No"/>
    <n v="1"/>
    <x v="3"/>
    <x v="2"/>
    <x v="15"/>
    <x v="1"/>
  </r>
  <r>
    <n v="11269"/>
    <x v="0"/>
    <x v="1"/>
    <n v="130000"/>
    <x v="4"/>
    <x v="4"/>
    <x v="4"/>
    <s v="Yes"/>
    <n v="2"/>
    <x v="0"/>
    <x v="2"/>
    <x v="3"/>
    <x v="0"/>
  </r>
  <r>
    <n v="25148"/>
    <x v="0"/>
    <x v="1"/>
    <n v="60000"/>
    <x v="4"/>
    <x v="2"/>
    <x v="2"/>
    <s v="No"/>
    <n v="2"/>
    <x v="3"/>
    <x v="2"/>
    <x v="28"/>
    <x v="1"/>
  </r>
  <r>
    <n v="13920"/>
    <x v="1"/>
    <x v="0"/>
    <n v="50000"/>
    <x v="5"/>
    <x v="0"/>
    <x v="0"/>
    <s v="Yes"/>
    <n v="2"/>
    <x v="0"/>
    <x v="2"/>
    <x v="0"/>
    <x v="0"/>
  </r>
  <r>
    <n v="23704"/>
    <x v="1"/>
    <x v="1"/>
    <n v="40000"/>
    <x v="2"/>
    <x v="2"/>
    <x v="2"/>
    <s v="Yes"/>
    <n v="4"/>
    <x v="4"/>
    <x v="2"/>
    <x v="2"/>
    <x v="1"/>
  </r>
  <r>
    <n v="28972"/>
    <x v="1"/>
    <x v="0"/>
    <n v="60000"/>
    <x v="1"/>
    <x v="4"/>
    <x v="4"/>
    <s v="Yes"/>
    <n v="2"/>
    <x v="4"/>
    <x v="2"/>
    <x v="29"/>
    <x v="0"/>
  </r>
  <r>
    <n v="22730"/>
    <x v="0"/>
    <x v="1"/>
    <n v="70000"/>
    <x v="2"/>
    <x v="0"/>
    <x v="4"/>
    <s v="Yes"/>
    <n v="2"/>
    <x v="4"/>
    <x v="2"/>
    <x v="18"/>
    <x v="0"/>
  </r>
  <r>
    <n v="29134"/>
    <x v="0"/>
    <x v="1"/>
    <n v="60000"/>
    <x v="5"/>
    <x v="0"/>
    <x v="0"/>
    <s v="No"/>
    <n v="3"/>
    <x v="4"/>
    <x v="2"/>
    <x v="0"/>
    <x v="0"/>
  </r>
  <r>
    <n v="14332"/>
    <x v="1"/>
    <x v="0"/>
    <n v="30000"/>
    <x v="3"/>
    <x v="2"/>
    <x v="0"/>
    <s v="No"/>
    <n v="2"/>
    <x v="2"/>
    <x v="2"/>
    <x v="22"/>
    <x v="0"/>
  </r>
  <r>
    <n v="19117"/>
    <x v="1"/>
    <x v="0"/>
    <n v="60000"/>
    <x v="0"/>
    <x v="4"/>
    <x v="2"/>
    <s v="Yes"/>
    <n v="0"/>
    <x v="1"/>
    <x v="2"/>
    <x v="4"/>
    <x v="1"/>
  </r>
  <r>
    <n v="22864"/>
    <x v="0"/>
    <x v="1"/>
    <n v="90000"/>
    <x v="4"/>
    <x v="1"/>
    <x v="2"/>
    <s v="No"/>
    <n v="0"/>
    <x v="2"/>
    <x v="2"/>
    <x v="38"/>
    <x v="1"/>
  </r>
  <r>
    <n v="11292"/>
    <x v="1"/>
    <x v="1"/>
    <n v="150000"/>
    <x v="0"/>
    <x v="1"/>
    <x v="2"/>
    <s v="No"/>
    <n v="3"/>
    <x v="0"/>
    <x v="2"/>
    <x v="20"/>
    <x v="1"/>
  </r>
  <r>
    <n v="13466"/>
    <x v="0"/>
    <x v="1"/>
    <n v="80000"/>
    <x v="2"/>
    <x v="1"/>
    <x v="2"/>
    <s v="Yes"/>
    <n v="3"/>
    <x v="3"/>
    <x v="2"/>
    <x v="30"/>
    <x v="0"/>
  </r>
  <r>
    <n v="23731"/>
    <x v="0"/>
    <x v="1"/>
    <n v="60000"/>
    <x v="4"/>
    <x v="2"/>
    <x v="2"/>
    <s v="Yes"/>
    <n v="2"/>
    <x v="1"/>
    <x v="2"/>
    <x v="9"/>
    <x v="1"/>
  </r>
  <r>
    <n v="28672"/>
    <x v="1"/>
    <x v="1"/>
    <n v="70000"/>
    <x v="5"/>
    <x v="4"/>
    <x v="2"/>
    <s v="Yes"/>
    <n v="0"/>
    <x v="1"/>
    <x v="2"/>
    <x v="11"/>
    <x v="1"/>
  </r>
  <r>
    <n v="11809"/>
    <x v="0"/>
    <x v="1"/>
    <n v="60000"/>
    <x v="4"/>
    <x v="0"/>
    <x v="0"/>
    <s v="Yes"/>
    <n v="0"/>
    <x v="0"/>
    <x v="2"/>
    <x v="13"/>
    <x v="1"/>
  </r>
  <r>
    <n v="19664"/>
    <x v="1"/>
    <x v="1"/>
    <n v="100000"/>
    <x v="1"/>
    <x v="0"/>
    <x v="4"/>
    <s v="No"/>
    <n v="3"/>
    <x v="3"/>
    <x v="2"/>
    <x v="13"/>
    <x v="0"/>
  </r>
  <r>
    <n v="12121"/>
    <x v="1"/>
    <x v="1"/>
    <n v="60000"/>
    <x v="1"/>
    <x v="2"/>
    <x v="2"/>
    <s v="Yes"/>
    <n v="2"/>
    <x v="4"/>
    <x v="2"/>
    <x v="39"/>
    <x v="1"/>
  </r>
  <r>
    <n v="13507"/>
    <x v="0"/>
    <x v="0"/>
    <n v="10000"/>
    <x v="4"/>
    <x v="1"/>
    <x v="3"/>
    <s v="Yes"/>
    <n v="0"/>
    <x v="3"/>
    <x v="0"/>
    <x v="5"/>
    <x v="0"/>
  </r>
  <r>
    <n v="19280"/>
    <x v="0"/>
    <x v="1"/>
    <n v="120000"/>
    <x v="4"/>
    <x v="1"/>
    <x v="3"/>
    <s v="Yes"/>
    <n v="1"/>
    <x v="0"/>
    <x v="0"/>
    <x v="8"/>
    <x v="1"/>
  </r>
  <r>
    <n v="22173"/>
    <x v="0"/>
    <x v="0"/>
    <n v="30000"/>
    <x v="1"/>
    <x v="2"/>
    <x v="0"/>
    <s v="No"/>
    <n v="2"/>
    <x v="3"/>
    <x v="1"/>
    <x v="9"/>
    <x v="1"/>
  </r>
  <r>
    <n v="12697"/>
    <x v="1"/>
    <x v="0"/>
    <n v="90000"/>
    <x v="3"/>
    <x v="0"/>
    <x v="2"/>
    <s v="No"/>
    <n v="4"/>
    <x v="4"/>
    <x v="1"/>
    <x v="4"/>
    <x v="0"/>
  </r>
  <r>
    <n v="11434"/>
    <x v="0"/>
    <x v="1"/>
    <n v="170000"/>
    <x v="2"/>
    <x v="1"/>
    <x v="2"/>
    <s v="Yes"/>
    <n v="0"/>
    <x v="0"/>
    <x v="0"/>
    <x v="10"/>
    <x v="0"/>
  </r>
  <r>
    <n v="25323"/>
    <x v="0"/>
    <x v="1"/>
    <n v="40000"/>
    <x v="4"/>
    <x v="1"/>
    <x v="1"/>
    <s v="Yes"/>
    <n v="1"/>
    <x v="3"/>
    <x v="0"/>
    <x v="11"/>
    <x v="1"/>
  </r>
  <r>
    <n v="23542"/>
    <x v="1"/>
    <x v="1"/>
    <n v="60000"/>
    <x v="0"/>
    <x v="1"/>
    <x v="0"/>
    <s v="No"/>
    <n v="1"/>
    <x v="0"/>
    <x v="1"/>
    <x v="12"/>
    <x v="1"/>
  </r>
  <r>
    <n v="20870"/>
    <x v="1"/>
    <x v="0"/>
    <n v="10000"/>
    <x v="4"/>
    <x v="2"/>
    <x v="3"/>
    <s v="Yes"/>
    <n v="1"/>
    <x v="0"/>
    <x v="0"/>
    <x v="13"/>
    <x v="1"/>
  </r>
  <r>
    <n v="23316"/>
    <x v="1"/>
    <x v="1"/>
    <n v="30000"/>
    <x v="1"/>
    <x v="1"/>
    <x v="1"/>
    <s v="No"/>
    <n v="2"/>
    <x v="3"/>
    <x v="1"/>
    <x v="14"/>
    <x v="1"/>
  </r>
  <r>
    <n v="12610"/>
    <x v="0"/>
    <x v="0"/>
    <n v="30000"/>
    <x v="0"/>
    <x v="0"/>
    <x v="1"/>
    <s v="Yes"/>
    <n v="0"/>
    <x v="0"/>
    <x v="0"/>
    <x v="15"/>
    <x v="0"/>
  </r>
  <r>
    <n v="27183"/>
    <x v="1"/>
    <x v="1"/>
    <n v="40000"/>
    <x v="4"/>
    <x v="1"/>
    <x v="1"/>
    <s v="Yes"/>
    <n v="1"/>
    <x v="3"/>
    <x v="0"/>
    <x v="11"/>
    <x v="1"/>
  </r>
  <r>
    <n v="25940"/>
    <x v="1"/>
    <x v="1"/>
    <n v="20000"/>
    <x v="4"/>
    <x v="3"/>
    <x v="1"/>
    <s v="Yes"/>
    <n v="2"/>
    <x v="2"/>
    <x v="1"/>
    <x v="10"/>
    <x v="1"/>
  </r>
  <r>
    <n v="25598"/>
    <x v="0"/>
    <x v="0"/>
    <n v="40000"/>
    <x v="3"/>
    <x v="4"/>
    <x v="1"/>
    <s v="Yes"/>
    <n v="0"/>
    <x v="0"/>
    <x v="0"/>
    <x v="4"/>
    <x v="1"/>
  </r>
  <r>
    <n v="21564"/>
    <x v="1"/>
    <x v="0"/>
    <n v="80000"/>
    <x v="3"/>
    <x v="0"/>
    <x v="2"/>
    <s v="Yes"/>
    <n v="4"/>
    <x v="4"/>
    <x v="1"/>
    <x v="11"/>
    <x v="0"/>
  </r>
  <r>
    <n v="19193"/>
    <x v="1"/>
    <x v="1"/>
    <n v="40000"/>
    <x v="4"/>
    <x v="1"/>
    <x v="1"/>
    <s v="Yes"/>
    <n v="0"/>
    <x v="3"/>
    <x v="0"/>
    <x v="11"/>
    <x v="1"/>
  </r>
  <r>
    <n v="26412"/>
    <x v="0"/>
    <x v="0"/>
    <n v="80000"/>
    <x v="2"/>
    <x v="2"/>
    <x v="4"/>
    <s v="No"/>
    <n v="3"/>
    <x v="2"/>
    <x v="0"/>
    <x v="16"/>
    <x v="0"/>
  </r>
  <r>
    <n v="27184"/>
    <x v="1"/>
    <x v="1"/>
    <n v="40000"/>
    <x v="4"/>
    <x v="1"/>
    <x v="1"/>
    <s v="No"/>
    <n v="1"/>
    <x v="0"/>
    <x v="0"/>
    <x v="17"/>
    <x v="0"/>
  </r>
  <r>
    <n v="12590"/>
    <x v="1"/>
    <x v="1"/>
    <n v="30000"/>
    <x v="0"/>
    <x v="0"/>
    <x v="1"/>
    <s v="Yes"/>
    <n v="0"/>
    <x v="0"/>
    <x v="0"/>
    <x v="18"/>
    <x v="0"/>
  </r>
  <r>
    <n v="17841"/>
    <x v="1"/>
    <x v="1"/>
    <n v="30000"/>
    <x v="3"/>
    <x v="1"/>
    <x v="1"/>
    <s v="No"/>
    <n v="1"/>
    <x v="0"/>
    <x v="0"/>
    <x v="19"/>
    <x v="1"/>
  </r>
  <r>
    <n v="18283"/>
    <x v="1"/>
    <x v="0"/>
    <n v="100000"/>
    <x v="3"/>
    <x v="0"/>
    <x v="2"/>
    <s v="No"/>
    <n v="1"/>
    <x v="2"/>
    <x v="1"/>
    <x v="8"/>
    <x v="0"/>
  </r>
  <r>
    <n v="18299"/>
    <x v="0"/>
    <x v="1"/>
    <n v="70000"/>
    <x v="2"/>
    <x v="1"/>
    <x v="0"/>
    <s v="Yes"/>
    <n v="2"/>
    <x v="2"/>
    <x v="1"/>
    <x v="20"/>
    <x v="0"/>
  </r>
  <r>
    <n v="16466"/>
    <x v="1"/>
    <x v="0"/>
    <n v="20000"/>
    <x v="3"/>
    <x v="3"/>
    <x v="3"/>
    <s v="No"/>
    <n v="2"/>
    <x v="0"/>
    <x v="0"/>
    <x v="21"/>
    <x v="1"/>
  </r>
  <r>
    <n v="19273"/>
    <x v="0"/>
    <x v="0"/>
    <n v="20000"/>
    <x v="4"/>
    <x v="1"/>
    <x v="3"/>
    <s v="Yes"/>
    <n v="0"/>
    <x v="0"/>
    <x v="0"/>
    <x v="18"/>
    <x v="0"/>
  </r>
  <r>
    <n v="22400"/>
    <x v="0"/>
    <x v="1"/>
    <n v="10000"/>
    <x v="3"/>
    <x v="1"/>
    <x v="3"/>
    <s v="No"/>
    <n v="1"/>
    <x v="0"/>
    <x v="1"/>
    <x v="22"/>
    <x v="1"/>
  </r>
  <r>
    <n v="20942"/>
    <x v="1"/>
    <x v="0"/>
    <n v="20000"/>
    <x v="3"/>
    <x v="2"/>
    <x v="3"/>
    <s v="No"/>
    <n v="1"/>
    <x v="2"/>
    <x v="0"/>
    <x v="23"/>
    <x v="0"/>
  </r>
  <r>
    <n v="18484"/>
    <x v="1"/>
    <x v="1"/>
    <n v="80000"/>
    <x v="4"/>
    <x v="2"/>
    <x v="0"/>
    <s v="No"/>
    <n v="2"/>
    <x v="3"/>
    <x v="1"/>
    <x v="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EEB179-51C6-DF4A-8BCF-0BBB602F74F1}" name="regionwiseavgincomeofm_f"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2">
  <location ref="A3:D7" firstHeaderRow="1" firstDataRow="2" firstDataCol="1"/>
  <pivotFields count="13">
    <pivotField compact="0" outline="0" showAll="0"/>
    <pivotField axis="axisRow" compact="0" outline="0" showAll="0">
      <items count="3">
        <item x="0"/>
        <item x="1"/>
        <item t="default"/>
      </items>
    </pivotField>
    <pivotField compact="0" outline="0" multipleItemSelectionAllowed="1" showAll="0">
      <items count="3">
        <item x="0"/>
        <item x="1"/>
        <item t="default"/>
      </items>
    </pivotField>
    <pivotField dataField="1" compact="0" numFmtId="164" outline="0" showAll="0"/>
    <pivotField compact="0" outline="0" showAll="0"/>
    <pivotField compact="0" outline="0" showAll="0">
      <items count="6">
        <item x="0"/>
        <item x="4"/>
        <item x="2"/>
        <item x="1"/>
        <item x="3"/>
        <item t="default"/>
      </items>
    </pivotField>
    <pivotField compact="0" outline="0" showAll="0">
      <items count="6">
        <item x="1"/>
        <item x="4"/>
        <item x="3"/>
        <item x="2"/>
        <item x="0"/>
        <item t="default"/>
      </items>
    </pivotField>
    <pivotField compact="0" outline="0" showAll="0"/>
    <pivotField compact="0" outline="0" showAll="0"/>
    <pivotField compact="0" outline="0" showAll="0"/>
    <pivotField compact="0" outline="0" showAll="0">
      <items count="4">
        <item x="0"/>
        <item x="2"/>
        <item x="1"/>
        <item t="default"/>
      </items>
    </pivotField>
    <pivotField compact="0" outline="0" showAll="0">
      <items count="10">
        <item x="0"/>
        <item x="1"/>
        <item x="2"/>
        <item x="3"/>
        <item x="4"/>
        <item x="5"/>
        <item x="6"/>
        <item x="7"/>
        <item x="8"/>
        <item t="default"/>
      </items>
    </pivotField>
    <pivotField axis="axisCol" compact="0" outline="0" showAll="0">
      <items count="3">
        <item x="0"/>
        <item x="1"/>
        <item t="default"/>
      </items>
    </pivotField>
  </pivotFields>
  <rowFields count="1">
    <field x="1"/>
  </rowFields>
  <rowItems count="3">
    <i>
      <x/>
    </i>
    <i>
      <x v="1"/>
    </i>
    <i t="grand">
      <x/>
    </i>
  </rowItems>
  <colFields count="1">
    <field x="12"/>
  </colFields>
  <colItems count="3">
    <i>
      <x/>
    </i>
    <i>
      <x v="1"/>
    </i>
    <i t="grand">
      <x/>
    </i>
  </colItems>
  <dataFields count="1">
    <dataField name="Sum of Income" fld="3" baseField="0" baseItem="0" numFmtId="164"/>
  </dataFields>
  <chartFormats count="6">
    <chartFormat chart="11" format="9" series="1">
      <pivotArea type="data" outline="0" fieldPosition="0"/>
    </chartFormat>
    <chartFormat chart="0" format="5" series="1">
      <pivotArea type="data" outline="0" fieldPosition="0"/>
    </chartFormat>
    <chartFormat chart="11" format="10" series="1">
      <pivotArea type="data" outline="0" fieldPosition="0">
        <references count="1">
          <reference field="12" count="1" selected="0">
            <x v="1"/>
          </reference>
        </references>
      </pivotArea>
    </chartFormat>
    <chartFormat chart="11" format="11" series="1">
      <pivotArea type="data" outline="0" fieldPosition="0">
        <references count="1">
          <reference field="12" count="1" selected="0">
            <x v="0"/>
          </reference>
        </references>
      </pivotArea>
    </chartFormat>
    <chartFormat chart="0" format="6" series="1">
      <pivotArea type="data" outline="0" fieldPosition="0">
        <references count="1">
          <reference field="12" count="1" selected="0">
            <x v="1"/>
          </reference>
        </references>
      </pivotArea>
    </chartFormat>
    <chartFormat chart="0" format="7" series="1">
      <pivotArea type="data" outline="0" fieldPosition="0">
        <references count="1">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D4011F-E53D-EA49-BD10-1F1F2255C897}" name="age_grp_wise_bike_pur"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4">
  <location ref="A3:B12" firstHeaderRow="2" firstDataRow="2" firstDataCol="1"/>
  <pivotFields count="13">
    <pivotField compact="0" outline="0" showAll="0"/>
    <pivotField compact="0" outline="0" showAll="0"/>
    <pivotField compact="0" outline="0" showAll="0"/>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0"/>
        <item x="2"/>
        <item x="1"/>
        <item t="default"/>
      </items>
    </pivotField>
    <pivotField axis="axisRow" compact="0" outline="0" showAll="0">
      <items count="10">
        <item x="0"/>
        <item x="1"/>
        <item x="2"/>
        <item x="3"/>
        <item x="4"/>
        <item x="5"/>
        <item x="6"/>
        <item x="7"/>
        <item x="8"/>
        <item t="default"/>
      </items>
    </pivotField>
    <pivotField dataField="1" compact="0" outline="0" showAll="0">
      <items count="3">
        <item x="0"/>
        <item x="1"/>
        <item t="default"/>
      </items>
    </pivotField>
  </pivotFields>
  <rowFields count="1">
    <field x="11"/>
  </rowFields>
  <rowItems count="8">
    <i>
      <x v="1"/>
    </i>
    <i>
      <x v="2"/>
    </i>
    <i>
      <x v="3"/>
    </i>
    <i>
      <x v="4"/>
    </i>
    <i>
      <x v="5"/>
    </i>
    <i>
      <x v="6"/>
    </i>
    <i>
      <x v="7"/>
    </i>
    <i t="grand">
      <x/>
    </i>
  </rowItems>
  <colItems count="1">
    <i/>
  </colItems>
  <dataFields count="1">
    <dataField name="Count of Purchased Bike" fld="12" subtotal="count" baseField="0" baseItem="0"/>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1"/>
          </reference>
        </references>
      </pivotArea>
    </chartFormat>
    <chartFormat chart="0" format="2">
      <pivotArea type="data" outline="0" fieldPosition="0">
        <references count="2">
          <reference field="4294967294" count="1" selected="0">
            <x v="0"/>
          </reference>
          <reference field="11" count="1" selected="0">
            <x v="2"/>
          </reference>
        </references>
      </pivotArea>
    </chartFormat>
    <chartFormat chart="0" format="3">
      <pivotArea type="data" outline="0" fieldPosition="0">
        <references count="2">
          <reference field="4294967294" count="1" selected="0">
            <x v="0"/>
          </reference>
          <reference field="11" count="1" selected="0">
            <x v="3"/>
          </reference>
        </references>
      </pivotArea>
    </chartFormat>
    <chartFormat chart="0" format="4">
      <pivotArea type="data" outline="0" fieldPosition="0">
        <references count="2">
          <reference field="4294967294" count="1" selected="0">
            <x v="0"/>
          </reference>
          <reference field="11" count="1" selected="0">
            <x v="4"/>
          </reference>
        </references>
      </pivotArea>
    </chartFormat>
    <chartFormat chart="0" format="5">
      <pivotArea type="data" outline="0" fieldPosition="0">
        <references count="2">
          <reference field="4294967294" count="1" selected="0">
            <x v="0"/>
          </reference>
          <reference field="11" count="1" selected="0">
            <x v="5"/>
          </reference>
        </references>
      </pivotArea>
    </chartFormat>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11" count="1" selected="0">
            <x v="1"/>
          </reference>
        </references>
      </pivotArea>
    </chartFormat>
    <chartFormat chart="3" format="13">
      <pivotArea type="data" outline="0" fieldPosition="0">
        <references count="2">
          <reference field="4294967294" count="1" selected="0">
            <x v="0"/>
          </reference>
          <reference field="11" count="1" selected="0">
            <x v="2"/>
          </reference>
        </references>
      </pivotArea>
    </chartFormat>
    <chartFormat chart="3" format="14">
      <pivotArea type="data" outline="0" fieldPosition="0">
        <references count="2">
          <reference field="4294967294" count="1" selected="0">
            <x v="0"/>
          </reference>
          <reference field="11" count="1" selected="0">
            <x v="3"/>
          </reference>
        </references>
      </pivotArea>
    </chartFormat>
    <chartFormat chart="3" format="15">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62D40D-9145-1646-BCC3-9FA0F069E23E}" name="rgn_wise_avg_Ageof_marital_status"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5">
  <location ref="A3:B8" firstHeaderRow="2" firstDataRow="2" firstDataCol="1"/>
  <pivotFields count="13">
    <pivotField compact="0" outline="0" showAll="0"/>
    <pivotField compact="0" outline="0" showAll="0">
      <items count="3">
        <item x="0"/>
        <item x="1"/>
        <item t="default"/>
      </items>
    </pivotField>
    <pivotField compact="0" outline="0" showAll="0"/>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2"/>
        <item x="1"/>
        <item t="default"/>
      </items>
    </pivotField>
    <pivotField compact="0" outline="0" showAll="0">
      <items count="10">
        <item x="0"/>
        <item x="1"/>
        <item x="2"/>
        <item x="3"/>
        <item x="4"/>
        <item x="5"/>
        <item x="6"/>
        <item x="7"/>
        <item x="8"/>
        <item t="default"/>
      </items>
    </pivotField>
    <pivotField dataField="1" compact="0" outline="0" showAll="0">
      <items count="3">
        <item x="0"/>
        <item x="1"/>
        <item t="default"/>
      </items>
    </pivotField>
  </pivotFields>
  <rowFields count="1">
    <field x="10"/>
  </rowFields>
  <rowItems count="4">
    <i>
      <x/>
    </i>
    <i>
      <x v="1"/>
    </i>
    <i>
      <x v="2"/>
    </i>
    <i t="grand">
      <x/>
    </i>
  </rowItems>
  <colItems count="1">
    <i/>
  </colItems>
  <dataFields count="1">
    <dataField name="Count of Purchased Bike" fld="12" subtotal="count" baseField="0" baseItem="0"/>
  </dataFields>
  <formats count="1">
    <format dxfId="9">
      <pivotArea outline="0" collapsedLevelsAreSubtotals="1" fieldPosition="0"/>
    </format>
  </formats>
  <chartFormats count="10">
    <chartFormat chart="4" format="8" series="1">
      <pivotArea type="data" outline="0" fieldPosition="0"/>
    </chartFormat>
    <chartFormat chart="0" format="6" series="1">
      <pivotArea type="data" outline="0" fieldPosition="0"/>
    </chartFormat>
    <chartFormat chart="4" format="10" series="1">
      <pivotArea type="data" outline="0" fieldPosition="0">
        <references count="1">
          <reference field="10" count="1" selected="0">
            <x v="1"/>
          </reference>
        </references>
      </pivotArea>
    </chartFormat>
    <chartFormat chart="4" format="11" series="1">
      <pivotArea type="data" outline="0" fieldPosition="0">
        <references count="1">
          <reference field="10" count="1" selected="0">
            <x v="2"/>
          </reference>
        </references>
      </pivotArea>
    </chartFormat>
    <chartFormat chart="4" format="12" series="1">
      <pivotArea type="data" outline="0" fieldPosition="0">
        <references count="1">
          <reference field="10" count="1" selected="0">
            <x v="0"/>
          </reference>
        </references>
      </pivotArea>
    </chartFormat>
    <chartFormat chart="0" format="8" series="1">
      <pivotArea type="data" outline="0" fieldPosition="0">
        <references count="1">
          <reference field="10" count="1" selected="0">
            <x v="1"/>
          </reference>
        </references>
      </pivotArea>
    </chartFormat>
    <chartFormat chart="0" format="9" series="1">
      <pivotArea type="data" outline="0" fieldPosition="0">
        <references count="1">
          <reference field="10" count="1" selected="0">
            <x v="2"/>
          </reference>
        </references>
      </pivotArea>
    </chartFormat>
    <chartFormat chart="0" format="10" series="1">
      <pivotArea type="data" outline="0" fieldPosition="0">
        <references count="1">
          <reference field="10" count="1" selected="0">
            <x v="0"/>
          </reference>
        </references>
      </pivotArea>
    </chartFormat>
    <chartFormat chart="4" format="13" series="1">
      <pivotArea type="data" outline="0" fieldPosition="0">
        <references count="1">
          <reference field="4294967294" count="1" selected="0">
            <x v="0"/>
          </reference>
        </references>
      </pivotArea>
    </chartFormat>
    <chartFormat chart="0"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DED37D-2CC1-E848-BE47-28EF9023A968}" name="occ_wise_total_income"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8">
  <location ref="A3:B10" firstHeaderRow="2" firstDataRow="2" firstDataCol="1"/>
  <pivotFields count="13">
    <pivotField compact="0" outline="0" showAll="0"/>
    <pivotField compact="0" outline="0" showAll="0"/>
    <pivotField compact="0" outline="0" showAll="0">
      <items count="3">
        <item x="0"/>
        <item x="1"/>
        <item t="default"/>
      </items>
    </pivotField>
    <pivotField compact="0" numFmtId="164" outline="0" showAll="0"/>
    <pivotField compact="0" outline="0" showAll="0"/>
    <pivotField compact="0" outline="0" showAll="0">
      <items count="6">
        <item x="0"/>
        <item x="4"/>
        <item x="2"/>
        <item x="1"/>
        <item x="3"/>
        <item t="default"/>
      </items>
    </pivotField>
    <pivotField axis="axisRow" compact="0" outline="0" showAll="0">
      <items count="6">
        <item x="1"/>
        <item x="4"/>
        <item x="3"/>
        <item x="2"/>
        <item x="0"/>
        <item t="default"/>
      </items>
    </pivotField>
    <pivotField compact="0" outline="0" showAll="0"/>
    <pivotField compact="0" outline="0" showAll="0"/>
    <pivotField compact="0" outline="0" showAll="0"/>
    <pivotField compact="0" outline="0" showAll="0">
      <items count="4">
        <item x="0"/>
        <item x="2"/>
        <item x="1"/>
        <item t="default"/>
      </items>
    </pivotField>
    <pivotField compact="0" outline="0" showAll="0">
      <items count="10">
        <item x="0"/>
        <item x="1"/>
        <item x="2"/>
        <item x="3"/>
        <item x="4"/>
        <item x="5"/>
        <item x="6"/>
        <item x="7"/>
        <item x="8"/>
        <item t="default"/>
      </items>
    </pivotField>
    <pivotField dataField="1" compact="0" outline="0" showAll="0">
      <items count="3">
        <item x="0"/>
        <item x="1"/>
        <item t="default"/>
      </items>
    </pivotField>
  </pivotFields>
  <rowFields count="1">
    <field x="6"/>
  </rowFields>
  <rowItems count="6">
    <i>
      <x/>
    </i>
    <i>
      <x v="1"/>
    </i>
    <i>
      <x v="2"/>
    </i>
    <i>
      <x v="3"/>
    </i>
    <i>
      <x v="4"/>
    </i>
    <i t="grand">
      <x/>
    </i>
  </rowItems>
  <colItems count="1">
    <i/>
  </colItems>
  <dataFields count="1">
    <dataField name="Count of Purchased Bike" fld="12" subtotal="count" baseField="0" baseItem="0"/>
  </dataFields>
  <chartFormats count="4">
    <chartFormat chart="5" format="7" series="1">
      <pivotArea type="data" outline="0" fieldPosition="0"/>
    </chartFormat>
    <chartFormat chart="1" format="3" series="1">
      <pivotArea type="data" outline="0" fieldPosition="0"/>
    </chartFormat>
    <chartFormat chart="5" format="9"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8F32B9-A75C-BC4D-8BFC-EA358B6FE9BF}" name="bike_pur_by_edu"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4">
  <location ref="A3:B10" firstHeaderRow="2" firstDataRow="2" firstDataCol="1"/>
  <pivotFields count="13">
    <pivotField compact="0" outline="0" showAll="0"/>
    <pivotField compact="0" outline="0" showAll="0">
      <items count="3">
        <item x="0"/>
        <item x="1"/>
        <item t="default"/>
      </items>
    </pivotField>
    <pivotField compact="0" outline="0" showAll="0">
      <items count="3">
        <item x="0"/>
        <item x="1"/>
        <item t="default"/>
      </items>
    </pivotField>
    <pivotField compact="0" numFmtId="164" outline="0" showAll="0"/>
    <pivotField compact="0" outline="0" showAll="0">
      <items count="7">
        <item x="3"/>
        <item x="0"/>
        <item x="4"/>
        <item x="1"/>
        <item x="5"/>
        <item x="2"/>
        <item t="default"/>
      </items>
    </pivotField>
    <pivotField axis="axisRow" compact="0" outline="0" showAll="0">
      <items count="6">
        <item x="0"/>
        <item x="4"/>
        <item x="2"/>
        <item x="1"/>
        <item x="3"/>
        <item t="default"/>
      </items>
    </pivotField>
    <pivotField compact="0" outline="0" showAll="0"/>
    <pivotField compact="0" outline="0" showAll="0"/>
    <pivotField compact="0" outline="0" showAll="0"/>
    <pivotField compact="0" outline="0" showAll="0">
      <items count="6">
        <item x="0"/>
        <item x="3"/>
        <item x="4"/>
        <item x="1"/>
        <item x="2"/>
        <item t="default"/>
      </items>
    </pivotField>
    <pivotField compact="0" outline="0" showAll="0">
      <items count="4">
        <item x="0"/>
        <item x="2"/>
        <item x="1"/>
        <item t="default"/>
      </items>
    </pivotField>
    <pivotField compact="0" outline="0" showAll="0">
      <items count="10">
        <item x="0"/>
        <item x="1"/>
        <item x="2"/>
        <item x="3"/>
        <item x="4"/>
        <item x="5"/>
        <item x="6"/>
        <item x="7"/>
        <item x="8"/>
        <item t="default"/>
      </items>
    </pivotField>
    <pivotField dataField="1" compact="0" outline="0" showAll="0">
      <items count="3">
        <item x="0"/>
        <item x="1"/>
        <item t="default"/>
      </items>
    </pivotField>
  </pivotFields>
  <rowFields count="1">
    <field x="5"/>
  </rowFields>
  <rowItems count="6">
    <i>
      <x/>
    </i>
    <i>
      <x v="1"/>
    </i>
    <i>
      <x v="2"/>
    </i>
    <i>
      <x v="3"/>
    </i>
    <i>
      <x v="4"/>
    </i>
    <i t="grand">
      <x/>
    </i>
  </rowItems>
  <colItems count="1">
    <i/>
  </colItems>
  <dataFields count="1">
    <dataField name="Count of Purchased Bike" fld="12" subtotal="count" showDataAs="percentOfTotal" baseField="0" baseItem="0" numFmtId="10"/>
  </dataFields>
  <formats count="1">
    <format dxfId="11">
      <pivotArea outline="0" fieldPosition="0">
        <references count="1">
          <reference field="5" count="0" selected="0"/>
        </references>
      </pivotArea>
    </format>
  </formats>
  <chartFormats count="12">
    <chartFormat chart="0" format="0"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5" count="1" selected="0">
            <x v="0"/>
          </reference>
        </references>
      </pivotArea>
    </chartFormat>
    <chartFormat chart="0" format="4">
      <pivotArea type="data" outline="0" fieldPosition="0">
        <references count="2">
          <reference field="4294967294" count="1" selected="0">
            <x v="0"/>
          </reference>
          <reference field="5" count="1" selected="0">
            <x v="1"/>
          </reference>
        </references>
      </pivotArea>
    </chartFormat>
    <chartFormat chart="0" format="5">
      <pivotArea type="data" outline="0" fieldPosition="0">
        <references count="2">
          <reference field="4294967294" count="1" selected="0">
            <x v="0"/>
          </reference>
          <reference field="5" count="1" selected="0">
            <x v="2"/>
          </reference>
        </references>
      </pivotArea>
    </chartFormat>
    <chartFormat chart="0" format="6">
      <pivotArea type="data" outline="0" fieldPosition="0">
        <references count="2">
          <reference field="4294967294" count="1" selected="0">
            <x v="0"/>
          </reference>
          <reference field="5" count="1" selected="0">
            <x v="3"/>
          </reference>
        </references>
      </pivotArea>
    </chartFormat>
    <chartFormat chart="0" format="7">
      <pivotArea type="data" outline="0" fieldPosition="0">
        <references count="2">
          <reference field="4294967294" count="1" selected="0">
            <x v="0"/>
          </reference>
          <reference field="5" count="1" selected="0">
            <x v="4"/>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5" count="1" selected="0">
            <x v="0"/>
          </reference>
        </references>
      </pivotArea>
    </chartFormat>
    <chartFormat chart="3" format="16">
      <pivotArea type="data" outline="0" fieldPosition="0">
        <references count="2">
          <reference field="4294967294" count="1" selected="0">
            <x v="0"/>
          </reference>
          <reference field="5" count="1" selected="0">
            <x v="1"/>
          </reference>
        </references>
      </pivotArea>
    </chartFormat>
    <chartFormat chart="3" format="17">
      <pivotArea type="data" outline="0" fieldPosition="0">
        <references count="2">
          <reference field="4294967294" count="1" selected="0">
            <x v="0"/>
          </reference>
          <reference field="5" count="1" selected="0">
            <x v="2"/>
          </reference>
        </references>
      </pivotArea>
    </chartFormat>
    <chartFormat chart="3" format="18">
      <pivotArea type="data" outline="0" fieldPosition="0">
        <references count="2">
          <reference field="4294967294" count="1" selected="0">
            <x v="0"/>
          </reference>
          <reference field="5" count="1" selected="0">
            <x v="3"/>
          </reference>
        </references>
      </pivotArea>
    </chartFormat>
    <chartFormat chart="3" format="19">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22B495-EDE0-7C47-85E0-F868EDF75748}" name="age_grp_wise_ttl_income"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6">
  <location ref="A3:D12" firstHeaderRow="1" firstDataRow="2" firstDataCol="1"/>
  <pivotFields count="13">
    <pivotField compact="0" outline="0" showAll="0"/>
    <pivotField compact="0" outline="0" showAll="0"/>
    <pivotField compact="0" outline="0" showAll="0"/>
    <pivotField dataField="1" compact="0" numFmtId="16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0"/>
        <item x="2"/>
        <item x="1"/>
        <item t="default"/>
      </items>
    </pivotField>
    <pivotField axis="axisRow" compact="0" outline="0" showAll="0">
      <items count="10">
        <item x="0"/>
        <item x="1"/>
        <item x="2"/>
        <item x="3"/>
        <item x="4"/>
        <item x="5"/>
        <item x="6"/>
        <item x="7"/>
        <item x="8"/>
        <item t="default"/>
      </items>
    </pivotField>
    <pivotField axis="axisCol" compact="0" outline="0" showAll="0">
      <items count="3">
        <item x="0"/>
        <item x="1"/>
        <item t="default"/>
      </items>
    </pivotField>
  </pivotFields>
  <rowFields count="1">
    <field x="11"/>
  </rowFields>
  <rowItems count="8">
    <i>
      <x v="1"/>
    </i>
    <i>
      <x v="2"/>
    </i>
    <i>
      <x v="3"/>
    </i>
    <i>
      <x v="4"/>
    </i>
    <i>
      <x v="5"/>
    </i>
    <i>
      <x v="6"/>
    </i>
    <i>
      <x v="7"/>
    </i>
    <i t="grand">
      <x/>
    </i>
  </rowItems>
  <colFields count="1">
    <field x="12"/>
  </colFields>
  <colItems count="3">
    <i>
      <x/>
    </i>
    <i>
      <x v="1"/>
    </i>
    <i t="grand">
      <x/>
    </i>
  </colItems>
  <dataFields count="1">
    <dataField name="Sum of Income" fld="3" baseField="0" baseItem="0" numFmtId="164"/>
  </dataFields>
  <chartFormats count="8">
    <chartFormat chart="0" format="0"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2">
          <reference field="4294967294" count="1" selected="0">
            <x v="0"/>
          </reference>
          <reference field="12" count="1" selected="0">
            <x v="1"/>
          </reference>
        </references>
      </pivotArea>
    </chartFormat>
    <chartFormat chart="0" format="4" series="1">
      <pivotArea type="data" outline="0" fieldPosition="0">
        <references count="2">
          <reference field="4294967294" count="1" selected="0">
            <x v="0"/>
          </reference>
          <reference field="12" count="1" selected="0">
            <x v="1"/>
          </reference>
        </references>
      </pivotArea>
    </chartFormat>
    <chartFormat chart="4" format="12" series="1">
      <pivotArea type="data" outline="0" fieldPosition="0">
        <references count="2">
          <reference field="4294967294" count="1" selected="0">
            <x v="0"/>
          </reference>
          <reference field="12" count="1" selected="0">
            <x v="0"/>
          </reference>
        </references>
      </pivotArea>
    </chartFormat>
    <chartFormat chart="4" format="13" series="1">
      <pivotArea type="data" outline="0" fieldPosition="0">
        <references count="2">
          <reference field="4294967294" count="1" selected="0">
            <x v="0"/>
          </reference>
          <reference field="12" count="1" selected="0">
            <x v="1"/>
          </reference>
        </references>
      </pivotArea>
    </chartFormat>
    <chartFormat chart="5" format="14" series="1">
      <pivotArea type="data" outline="0" fieldPosition="0">
        <references count="2">
          <reference field="4294967294" count="1" selected="0">
            <x v="0"/>
          </reference>
          <reference field="12" count="1" selected="0">
            <x v="0"/>
          </reference>
        </references>
      </pivotArea>
    </chartFormat>
    <chartFormat chart="5" format="1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48B7AD7-B239-7B43-8479-D11E36385A8E}" sourceName="Region">
  <pivotTables>
    <pivotTable tabId="6" name="occ_wise_total_income"/>
    <pivotTable tabId="4" name="age_grp_wise_bike_pur"/>
    <pivotTable tabId="8" name="age_grp_wise_ttl_income"/>
    <pivotTable tabId="7" name="bike_pur_by_edu"/>
    <pivotTable tabId="3" name="regionwiseavgincomeofm_f"/>
    <pivotTable tabId="5" name="rgn_wise_avg_Ageof_marital_status"/>
  </pivotTables>
  <data>
    <tabular pivotCacheId="855065325">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B5673623-53FA-6542-B7E2-B4F24FD27422}" sourceName="Age">
  <pivotTables>
    <pivotTable tabId="6" name="occ_wise_total_income"/>
    <pivotTable tabId="4" name="age_grp_wise_bike_pur"/>
    <pivotTable tabId="8" name="age_grp_wise_ttl_income"/>
    <pivotTable tabId="7" name="bike_pur_by_edu"/>
    <pivotTable tabId="3" name="regionwiseavgincomeofm_f"/>
    <pivotTable tabId="5" name="rgn_wise_avg_Ageof_marital_status"/>
  </pivotTables>
  <data>
    <tabular pivotCacheId="855065325">
      <items count="9">
        <i x="1" s="1"/>
        <i x="2" s="1"/>
        <i x="3" s="1"/>
        <i x="4" s="1"/>
        <i x="5" s="1"/>
        <i x="6" s="1"/>
        <i x="7" s="1"/>
        <i x="0" s="1" nd="1"/>
        <i x="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A55E69-6A66-5940-A230-AB8AC2FC2D40}" cache="Slicer_Region" caption="Region" rowHeight="230716"/>
  <slicer name="Age" xr10:uid="{8F55AC5F-3F45-9E45-8779-D6515D036ED1}" cache="Slicer_Age" caption="Age"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B3BFE5-E322-0A40-90CA-29E58E494633}" name="Table1" displayName="Table1" ref="A1:M1027" totalsRowShown="0">
  <autoFilter ref="A1:M1027" xr:uid="{43B3BFE5-E322-0A40-90CA-29E58E494633}"/>
  <tableColumns count="13">
    <tableColumn id="1" xr3:uid="{7E50A9EE-5E7F-1F4A-A9EF-356D553D1C88}" name="ID"/>
    <tableColumn id="2" xr3:uid="{3DB085CC-EEB4-924A-932B-31C04FFA43CC}" name="Marital Status"/>
    <tableColumn id="3" xr3:uid="{B0FB130C-B73D-4B4A-B1B6-E89DBB036CB7}" name="Gender"/>
    <tableColumn id="4" xr3:uid="{0FF3FB20-A573-034E-A7D5-36BABD16C031}" name="Income" dataDxfId="10"/>
    <tableColumn id="5" xr3:uid="{1CC75C7B-F3F1-584C-88CF-BF26830A6C35}" name="Children"/>
    <tableColumn id="6" xr3:uid="{369A32E9-309F-3044-8961-29D5CEA6EA0A}" name="Education"/>
    <tableColumn id="7" xr3:uid="{1E24EA41-6448-5F4C-B4EE-6E1372F6DDF5}" name="Occupation"/>
    <tableColumn id="8" xr3:uid="{2F6919B7-4C84-C54A-9EB0-AB32B0B13FD8}" name="Home Owner"/>
    <tableColumn id="9" xr3:uid="{42B88FE7-DD83-4A40-8C95-2DEDA1D9247C}" name="Cars"/>
    <tableColumn id="10" xr3:uid="{D02CD4BF-3A7B-FA48-A7D9-DD9B5B53B751}" name="Commute Distance"/>
    <tableColumn id="11" xr3:uid="{FBE5F4FD-A090-6D49-B7D8-82A4555F38F7}" name="Region"/>
    <tableColumn id="12" xr3:uid="{0587DE89-C00B-184B-A02B-F0A02E56B2E5}" name="Age"/>
    <tableColumn id="13" xr3:uid="{1921380F-9412-AF4E-BC83-338B5AC7512E}"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681E3-D662-3944-BDC2-C183B8DF063D}">
  <dimension ref="A3:D7"/>
  <sheetViews>
    <sheetView topLeftCell="A2" zoomScale="139" workbookViewId="0">
      <selection activeCell="G27" sqref="G27"/>
    </sheetView>
  </sheetViews>
  <sheetFormatPr baseColWidth="10" defaultRowHeight="15" x14ac:dyDescent="0.2"/>
  <cols>
    <col min="1" max="1" width="14.33203125" bestFit="1" customWidth="1"/>
    <col min="2" max="3" width="15.33203125" bestFit="1" customWidth="1"/>
    <col min="4" max="4" width="14.1640625" bestFit="1" customWidth="1"/>
    <col min="5" max="5" width="10" bestFit="1" customWidth="1"/>
    <col min="6" max="6" width="10.1640625" bestFit="1" customWidth="1"/>
  </cols>
  <sheetData>
    <row r="3" spans="1:4" x14ac:dyDescent="0.2">
      <c r="A3" s="3" t="s">
        <v>37</v>
      </c>
      <c r="B3" s="3" t="s">
        <v>12</v>
      </c>
    </row>
    <row r="4" spans="1:4" x14ac:dyDescent="0.2">
      <c r="A4" s="3" t="s">
        <v>1</v>
      </c>
      <c r="B4" t="s">
        <v>18</v>
      </c>
      <c r="C4" t="s">
        <v>15</v>
      </c>
      <c r="D4" t="s">
        <v>36</v>
      </c>
    </row>
    <row r="5" spans="1:4" x14ac:dyDescent="0.2">
      <c r="A5" t="s">
        <v>34</v>
      </c>
      <c r="B5" s="1">
        <v>18030000</v>
      </c>
      <c r="C5" s="1">
        <v>14180000</v>
      </c>
      <c r="D5" s="1">
        <v>32210000</v>
      </c>
    </row>
    <row r="6" spans="1:4" x14ac:dyDescent="0.2">
      <c r="A6" t="s">
        <v>35</v>
      </c>
      <c r="B6" s="1">
        <v>11190000</v>
      </c>
      <c r="C6" s="1">
        <v>14270000</v>
      </c>
      <c r="D6" s="1">
        <v>25460000</v>
      </c>
    </row>
    <row r="7" spans="1:4" x14ac:dyDescent="0.2">
      <c r="A7" t="s">
        <v>36</v>
      </c>
      <c r="B7" s="1">
        <v>29220000</v>
      </c>
      <c r="C7" s="1">
        <v>28450000</v>
      </c>
      <c r="D7" s="1">
        <v>57670000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12A75-BD48-5742-B6E4-5746E5DAEF7E}">
  <dimension ref="A3:B12"/>
  <sheetViews>
    <sheetView zoomScale="163" workbookViewId="0">
      <selection activeCell="G22" sqref="G22"/>
    </sheetView>
  </sheetViews>
  <sheetFormatPr baseColWidth="10" defaultRowHeight="15" x14ac:dyDescent="0.2"/>
  <cols>
    <col min="1" max="1" width="20.1640625" bestFit="1" customWidth="1"/>
    <col min="2" max="2" width="5.1640625" bestFit="1" customWidth="1"/>
  </cols>
  <sheetData>
    <row r="3" spans="1:2" x14ac:dyDescent="0.2">
      <c r="A3" s="3" t="s">
        <v>39</v>
      </c>
    </row>
    <row r="4" spans="1:2" x14ac:dyDescent="0.2">
      <c r="A4" s="3" t="s">
        <v>11</v>
      </c>
      <c r="B4" t="s">
        <v>38</v>
      </c>
    </row>
    <row r="5" spans="1:2" x14ac:dyDescent="0.2">
      <c r="A5" t="s">
        <v>40</v>
      </c>
      <c r="B5" s="9">
        <v>225</v>
      </c>
    </row>
    <row r="6" spans="1:2" x14ac:dyDescent="0.2">
      <c r="A6" t="s">
        <v>41</v>
      </c>
      <c r="B6" s="9">
        <v>341</v>
      </c>
    </row>
    <row r="7" spans="1:2" x14ac:dyDescent="0.2">
      <c r="A7" t="s">
        <v>42</v>
      </c>
      <c r="B7" s="9">
        <v>265</v>
      </c>
    </row>
    <row r="8" spans="1:2" x14ac:dyDescent="0.2">
      <c r="A8" t="s">
        <v>43</v>
      </c>
      <c r="B8" s="9">
        <v>136</v>
      </c>
    </row>
    <row r="9" spans="1:2" x14ac:dyDescent="0.2">
      <c r="A9" t="s">
        <v>44</v>
      </c>
      <c r="B9" s="9">
        <v>55</v>
      </c>
    </row>
    <row r="10" spans="1:2" x14ac:dyDescent="0.2">
      <c r="A10" t="s">
        <v>45</v>
      </c>
      <c r="B10" s="9">
        <v>3</v>
      </c>
    </row>
    <row r="11" spans="1:2" x14ac:dyDescent="0.2">
      <c r="A11" t="s">
        <v>46</v>
      </c>
      <c r="B11" s="9">
        <v>1</v>
      </c>
    </row>
    <row r="12" spans="1:2" x14ac:dyDescent="0.2">
      <c r="A12" t="s">
        <v>36</v>
      </c>
      <c r="B12" s="9">
        <v>1026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C34FD-96D4-9149-90D3-8599F9A3F331}">
  <dimension ref="A3:B8"/>
  <sheetViews>
    <sheetView topLeftCell="A6" zoomScale="150" workbookViewId="0">
      <selection activeCell="H12" sqref="H12"/>
    </sheetView>
  </sheetViews>
  <sheetFormatPr baseColWidth="10" defaultRowHeight="15" x14ac:dyDescent="0.2"/>
  <cols>
    <col min="1" max="1" width="20.33203125" bestFit="1" customWidth="1"/>
    <col min="2" max="2" width="5.1640625" bestFit="1" customWidth="1"/>
    <col min="3" max="4" width="12.5" bestFit="1" customWidth="1"/>
    <col min="5" max="5" width="10.1640625" bestFit="1" customWidth="1"/>
  </cols>
  <sheetData>
    <row r="3" spans="1:2" x14ac:dyDescent="0.2">
      <c r="A3" s="3" t="s">
        <v>39</v>
      </c>
    </row>
    <row r="4" spans="1:2" x14ac:dyDescent="0.2">
      <c r="A4" s="3" t="s">
        <v>10</v>
      </c>
      <c r="B4" t="s">
        <v>38</v>
      </c>
    </row>
    <row r="5" spans="1:2" x14ac:dyDescent="0.2">
      <c r="A5" t="s">
        <v>17</v>
      </c>
      <c r="B5" s="4">
        <v>316</v>
      </c>
    </row>
    <row r="6" spans="1:2" x14ac:dyDescent="0.2">
      <c r="A6" t="s">
        <v>32</v>
      </c>
      <c r="B6" s="4">
        <v>508</v>
      </c>
    </row>
    <row r="7" spans="1:2" x14ac:dyDescent="0.2">
      <c r="A7" t="s">
        <v>24</v>
      </c>
      <c r="B7" s="4">
        <v>202</v>
      </c>
    </row>
    <row r="8" spans="1:2" x14ac:dyDescent="0.2">
      <c r="A8" t="s">
        <v>36</v>
      </c>
      <c r="B8" s="4">
        <v>1026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E3615-643B-D642-B593-630A68354118}">
  <dimension ref="A3:B10"/>
  <sheetViews>
    <sheetView zoomScale="125" workbookViewId="0">
      <selection activeCell="K15" sqref="K15"/>
    </sheetView>
  </sheetViews>
  <sheetFormatPr baseColWidth="10" defaultRowHeight="15" x14ac:dyDescent="0.2"/>
  <cols>
    <col min="1" max="1" width="20.5" bestFit="1" customWidth="1"/>
    <col min="2" max="2" width="5.1640625" bestFit="1" customWidth="1"/>
    <col min="3" max="5" width="14.1640625" bestFit="1" customWidth="1"/>
  </cols>
  <sheetData>
    <row r="3" spans="1:2" x14ac:dyDescent="0.2">
      <c r="A3" s="3" t="s">
        <v>39</v>
      </c>
    </row>
    <row r="4" spans="1:2" x14ac:dyDescent="0.2">
      <c r="A4" s="3" t="s">
        <v>6</v>
      </c>
      <c r="B4" t="s">
        <v>38</v>
      </c>
    </row>
    <row r="5" spans="1:2" x14ac:dyDescent="0.2">
      <c r="A5" t="s">
        <v>20</v>
      </c>
      <c r="B5" s="9">
        <v>187</v>
      </c>
    </row>
    <row r="6" spans="1:2" x14ac:dyDescent="0.2">
      <c r="A6" t="s">
        <v>28</v>
      </c>
      <c r="B6" s="9">
        <v>174</v>
      </c>
    </row>
    <row r="7" spans="1:2" x14ac:dyDescent="0.2">
      <c r="A7" t="s">
        <v>25</v>
      </c>
      <c r="B7" s="9">
        <v>126</v>
      </c>
    </row>
    <row r="8" spans="1:2" x14ac:dyDescent="0.2">
      <c r="A8" t="s">
        <v>21</v>
      </c>
      <c r="B8" s="9">
        <v>280</v>
      </c>
    </row>
    <row r="9" spans="1:2" x14ac:dyDescent="0.2">
      <c r="A9" t="s">
        <v>14</v>
      </c>
      <c r="B9" s="9">
        <v>259</v>
      </c>
    </row>
    <row r="10" spans="1:2" x14ac:dyDescent="0.2">
      <c r="A10" t="s">
        <v>36</v>
      </c>
      <c r="B10" s="9">
        <v>1026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23AE0-A17C-544B-AC25-26B52BBAE58A}">
  <dimension ref="A3:B10"/>
  <sheetViews>
    <sheetView workbookViewId="0">
      <selection activeCell="N14" sqref="N14"/>
    </sheetView>
  </sheetViews>
  <sheetFormatPr baseColWidth="10" defaultRowHeight="15" x14ac:dyDescent="0.2"/>
  <cols>
    <col min="1" max="1" width="19.83203125" bestFit="1" customWidth="1"/>
    <col min="2" max="3" width="8" bestFit="1" customWidth="1"/>
    <col min="4" max="4" width="10" bestFit="1" customWidth="1"/>
    <col min="5" max="8" width="6.6640625" bestFit="1" customWidth="1"/>
    <col min="9" max="9" width="10" bestFit="1" customWidth="1"/>
  </cols>
  <sheetData>
    <row r="3" spans="1:2" x14ac:dyDescent="0.2">
      <c r="A3" s="3" t="s">
        <v>39</v>
      </c>
    </row>
    <row r="4" spans="1:2" x14ac:dyDescent="0.2">
      <c r="A4" s="3" t="s">
        <v>5</v>
      </c>
      <c r="B4" t="s">
        <v>38</v>
      </c>
    </row>
    <row r="5" spans="1:2" x14ac:dyDescent="0.2">
      <c r="A5" t="s">
        <v>13</v>
      </c>
      <c r="B5" s="6">
        <v>0.30311890838206629</v>
      </c>
    </row>
    <row r="6" spans="1:2" x14ac:dyDescent="0.2">
      <c r="A6" t="s">
        <v>31</v>
      </c>
      <c r="B6" s="6">
        <v>0.1705653021442495</v>
      </c>
    </row>
    <row r="7" spans="1:2" x14ac:dyDescent="0.2">
      <c r="A7" t="s">
        <v>27</v>
      </c>
      <c r="B7" s="6">
        <v>0.17933723196881091</v>
      </c>
    </row>
    <row r="8" spans="1:2" x14ac:dyDescent="0.2">
      <c r="A8" t="s">
        <v>19</v>
      </c>
      <c r="B8" s="6">
        <v>0.27095516569200778</v>
      </c>
    </row>
    <row r="9" spans="1:2" x14ac:dyDescent="0.2">
      <c r="A9" t="s">
        <v>29</v>
      </c>
      <c r="B9" s="6">
        <v>7.6023391812865493E-2</v>
      </c>
    </row>
    <row r="10" spans="1:2" x14ac:dyDescent="0.2">
      <c r="A10" t="s">
        <v>36</v>
      </c>
      <c r="B10" s="5">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4FF4D-B818-DA42-892A-D7B6BF0F65FC}">
  <dimension ref="A3:D12"/>
  <sheetViews>
    <sheetView topLeftCell="A3" zoomScale="104" workbookViewId="0">
      <selection activeCell="H18" sqref="H18"/>
    </sheetView>
  </sheetViews>
  <sheetFormatPr baseColWidth="10" defaultRowHeight="15" x14ac:dyDescent="0.2"/>
  <cols>
    <col min="1" max="1" width="12.5" bestFit="1" customWidth="1"/>
    <col min="2" max="3" width="15.33203125" bestFit="1" customWidth="1"/>
    <col min="4" max="4" width="14.1640625" bestFit="1" customWidth="1"/>
    <col min="5" max="5" width="12.5" bestFit="1" customWidth="1"/>
    <col min="6" max="6" width="11.6640625" bestFit="1" customWidth="1"/>
  </cols>
  <sheetData>
    <row r="3" spans="1:4" x14ac:dyDescent="0.2">
      <c r="A3" s="3" t="s">
        <v>37</v>
      </c>
      <c r="B3" s="3" t="s">
        <v>12</v>
      </c>
    </row>
    <row r="4" spans="1:4" x14ac:dyDescent="0.2">
      <c r="A4" s="3" t="s">
        <v>11</v>
      </c>
      <c r="B4" t="s">
        <v>18</v>
      </c>
      <c r="C4" t="s">
        <v>15</v>
      </c>
      <c r="D4" t="s">
        <v>36</v>
      </c>
    </row>
    <row r="5" spans="1:4" x14ac:dyDescent="0.2">
      <c r="A5" t="s">
        <v>40</v>
      </c>
      <c r="B5" s="1">
        <v>4940000</v>
      </c>
      <c r="C5" s="1">
        <v>4470000</v>
      </c>
      <c r="D5" s="1">
        <v>9410000</v>
      </c>
    </row>
    <row r="6" spans="1:4" x14ac:dyDescent="0.2">
      <c r="A6" t="s">
        <v>41</v>
      </c>
      <c r="B6" s="1">
        <v>8130000</v>
      </c>
      <c r="C6" s="1">
        <v>11780000</v>
      </c>
      <c r="D6" s="1">
        <v>19910000</v>
      </c>
    </row>
    <row r="7" spans="1:4" x14ac:dyDescent="0.2">
      <c r="A7" t="s">
        <v>42</v>
      </c>
      <c r="B7" s="1">
        <v>7980000</v>
      </c>
      <c r="C7" s="1">
        <v>8740000</v>
      </c>
      <c r="D7" s="1">
        <v>16720000</v>
      </c>
    </row>
    <row r="8" spans="1:4" x14ac:dyDescent="0.2">
      <c r="A8" t="s">
        <v>43</v>
      </c>
      <c r="B8" s="1">
        <v>5920000</v>
      </c>
      <c r="C8" s="1">
        <v>2510000</v>
      </c>
      <c r="D8" s="1">
        <v>8430000</v>
      </c>
    </row>
    <row r="9" spans="1:4" x14ac:dyDescent="0.2">
      <c r="A9" t="s">
        <v>44</v>
      </c>
      <c r="B9" s="1">
        <v>2150000</v>
      </c>
      <c r="C9" s="1">
        <v>850000</v>
      </c>
      <c r="D9" s="1">
        <v>3000000</v>
      </c>
    </row>
    <row r="10" spans="1:4" x14ac:dyDescent="0.2">
      <c r="A10" t="s">
        <v>45</v>
      </c>
      <c r="B10" s="1">
        <v>60000</v>
      </c>
      <c r="C10" s="1">
        <v>100000</v>
      </c>
      <c r="D10" s="1">
        <v>160000</v>
      </c>
    </row>
    <row r="11" spans="1:4" x14ac:dyDescent="0.2">
      <c r="A11" t="s">
        <v>46</v>
      </c>
      <c r="B11" s="1">
        <v>40000</v>
      </c>
      <c r="C11" s="1"/>
      <c r="D11" s="1">
        <v>40000</v>
      </c>
    </row>
    <row r="12" spans="1:4" x14ac:dyDescent="0.2">
      <c r="A12" t="s">
        <v>36</v>
      </c>
      <c r="B12" s="1">
        <v>29220000</v>
      </c>
      <c r="C12" s="1">
        <v>28450000</v>
      </c>
      <c r="D12" s="1">
        <v>57670000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D5173-213F-4540-92FB-A535FA296E28}">
  <dimension ref="G1:I1"/>
  <sheetViews>
    <sheetView showGridLines="0" tabSelected="1" workbookViewId="0">
      <selection activeCell="E1" sqref="E1"/>
    </sheetView>
  </sheetViews>
  <sheetFormatPr baseColWidth="10" defaultRowHeight="15" x14ac:dyDescent="0.2"/>
  <cols>
    <col min="1" max="16384" width="10.83203125" style="7"/>
  </cols>
  <sheetData>
    <row r="1" spans="7:9" x14ac:dyDescent="0.2">
      <c r="G1" s="8"/>
      <c r="H1" s="8"/>
      <c r="I1" s="8"/>
    </row>
  </sheetData>
  <mergeCells count="1">
    <mergeCell ref="G1:I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2" workbookViewId="0">
      <selection activeCell="O9" sqref="O9"/>
    </sheetView>
  </sheetViews>
  <sheetFormatPr baseColWidth="10" defaultColWidth="11.83203125" defaultRowHeight="15" x14ac:dyDescent="0.2"/>
  <cols>
    <col min="2" max="2" width="14.1640625" customWidth="1"/>
    <col min="7" max="7" width="12.33203125" customWidth="1"/>
    <col min="8" max="8" width="13.6640625" customWidth="1"/>
    <col min="10" max="10" width="18.1640625" customWidth="1"/>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4C73B-2056-4B42-8237-F425FB4D4909}">
  <dimension ref="A1:E17"/>
  <sheetViews>
    <sheetView zoomScale="193" workbookViewId="0">
      <selection activeCell="C14" sqref="C14"/>
    </sheetView>
  </sheetViews>
  <sheetFormatPr baseColWidth="10" defaultRowHeight="15" x14ac:dyDescent="0.2"/>
  <sheetData>
    <row r="1" spans="1:5" x14ac:dyDescent="0.2">
      <c r="A1" t="s">
        <v>0</v>
      </c>
      <c r="B1" t="s">
        <v>51</v>
      </c>
      <c r="C1" t="s">
        <v>11</v>
      </c>
      <c r="D1" t="s">
        <v>2</v>
      </c>
      <c r="E1" t="s">
        <v>56</v>
      </c>
    </row>
    <row r="2" spans="1:5" x14ac:dyDescent="0.2">
      <c r="A2" t="s">
        <v>47</v>
      </c>
      <c r="B2" t="s">
        <v>52</v>
      </c>
      <c r="C2">
        <v>25</v>
      </c>
      <c r="D2" t="s">
        <v>34</v>
      </c>
      <c r="E2">
        <v>20000</v>
      </c>
    </row>
    <row r="3" spans="1:5" x14ac:dyDescent="0.2">
      <c r="A3" t="s">
        <v>48</v>
      </c>
      <c r="B3" t="s">
        <v>53</v>
      </c>
      <c r="C3">
        <v>27</v>
      </c>
      <c r="D3" t="s">
        <v>33</v>
      </c>
      <c r="E3">
        <v>24000</v>
      </c>
    </row>
    <row r="4" spans="1:5" x14ac:dyDescent="0.2">
      <c r="A4" t="s">
        <v>49</v>
      </c>
      <c r="B4" t="s">
        <v>54</v>
      </c>
      <c r="C4">
        <v>30</v>
      </c>
      <c r="D4" t="s">
        <v>33</v>
      </c>
      <c r="E4">
        <v>25000</v>
      </c>
    </row>
    <row r="5" spans="1:5" x14ac:dyDescent="0.2">
      <c r="A5" t="s">
        <v>50</v>
      </c>
      <c r="B5" t="s">
        <v>55</v>
      </c>
      <c r="C5">
        <v>32</v>
      </c>
      <c r="D5" t="s">
        <v>33</v>
      </c>
      <c r="E5">
        <v>30000</v>
      </c>
    </row>
    <row r="6" spans="1:5" x14ac:dyDescent="0.2">
      <c r="A6" t="s">
        <v>57</v>
      </c>
      <c r="B6" t="s">
        <v>58</v>
      </c>
      <c r="C6">
        <v>28</v>
      </c>
      <c r="D6" t="s">
        <v>34</v>
      </c>
      <c r="E6">
        <v>28000</v>
      </c>
    </row>
    <row r="8" spans="1:5" x14ac:dyDescent="0.2">
      <c r="E8">
        <f>SUMIF(D2:D6,"M",E2:E6)</f>
        <v>48000</v>
      </c>
    </row>
    <row r="10" spans="1:5" x14ac:dyDescent="0.2">
      <c r="E10">
        <f>SUMIFS(E2:E6,D2:D6,"F",C2:C6,"&gt;=30")</f>
        <v>55000</v>
      </c>
    </row>
    <row r="12" spans="1:5" x14ac:dyDescent="0.2">
      <c r="A12" t="s">
        <v>0</v>
      </c>
      <c r="B12" t="s">
        <v>51</v>
      </c>
      <c r="C12" t="s">
        <v>11</v>
      </c>
      <c r="D12" t="s">
        <v>2</v>
      </c>
      <c r="E12" t="s">
        <v>56</v>
      </c>
    </row>
    <row r="13" spans="1:5" x14ac:dyDescent="0.2">
      <c r="A13" t="s">
        <v>47</v>
      </c>
      <c r="B13" t="str">
        <f>VLOOKUP($A$13,$A$2:$E$6,MATCH(B12,$A$1:$E$1,0),FALSE)</f>
        <v>Yash</v>
      </c>
      <c r="C13">
        <f t="shared" ref="C13:E13" si="0">VLOOKUP($A$13,$A$2:$E$6,MATCH(C12,$A$1:$E$1,0),FALSE)</f>
        <v>25</v>
      </c>
      <c r="D13" t="str">
        <f t="shared" si="0"/>
        <v>M</v>
      </c>
      <c r="E13">
        <f t="shared" si="0"/>
        <v>20000</v>
      </c>
    </row>
    <row r="14" spans="1:5" x14ac:dyDescent="0.2">
      <c r="A14" t="s">
        <v>48</v>
      </c>
    </row>
    <row r="15" spans="1:5" x14ac:dyDescent="0.2">
      <c r="A15" t="s">
        <v>49</v>
      </c>
    </row>
    <row r="16" spans="1:5" x14ac:dyDescent="0.2">
      <c r="A16" t="s">
        <v>50</v>
      </c>
    </row>
    <row r="17" spans="1:1" x14ac:dyDescent="0.2">
      <c r="A17" t="s">
        <v>57</v>
      </c>
    </row>
  </sheetData>
  <phoneticPr fontId="1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region_wise_avg_income_by_gen</vt:lpstr>
      <vt:lpstr>age_group_wise_bike_Pur</vt:lpstr>
      <vt:lpstr>rgn_wise_avg_age_of_marital_sts</vt:lpstr>
      <vt:lpstr>occ_wise_total_income</vt:lpstr>
      <vt:lpstr>bike_pur_by_edu</vt:lpstr>
      <vt:lpstr>Age_grp_Wise_total_income</vt:lpstr>
      <vt:lpstr>Dashboard</vt:lpstr>
      <vt:lpstr>bike_buyers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2022-03-18T02:50:57Z</dcterms:created>
  <dcterms:modified xsi:type="dcterms:W3CDTF">2026-02-17T14:18:14Z</dcterms:modified>
</cp:coreProperties>
</file>